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068" windowHeight="13500"/>
  </bookViews>
  <sheets>
    <sheet name="版本台账（2026） (2)" sheetId="1" r:id="rId1"/>
  </sheets>
  <definedNames>
    <definedName name="_xlnm._FilterDatabase" localSheetId="0" hidden="1">'版本台账（2026） (2)'!$A$1:$V$71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<sst xmlns="http://schemas.openxmlformats.org/spreadsheetml/2006/main" count="419" uniqueCount="187">
  <si>
    <t>序号</t>
  </si>
  <si>
    <t>项目</t>
  </si>
  <si>
    <t>产品名称</t>
  </si>
  <si>
    <t>版本号</t>
  </si>
  <si>
    <t>转测人员</t>
  </si>
  <si>
    <t>测试人员</t>
  </si>
  <si>
    <t>版本发布时间</t>
  </si>
  <si>
    <t>测试开始时间</t>
  </si>
  <si>
    <t>测试结束时间</t>
  </si>
  <si>
    <t>测试时长</t>
  </si>
  <si>
    <t>测试项</t>
  </si>
  <si>
    <t>BUG数</t>
  </si>
  <si>
    <t>测试文件</t>
  </si>
  <si>
    <t>备注</t>
  </si>
  <si>
    <t>追加测试项</t>
  </si>
  <si>
    <t>测试BUG数</t>
  </si>
  <si>
    <t>测试项总数</t>
  </si>
  <si>
    <t>BUG总数</t>
  </si>
  <si>
    <t>严重问题</t>
  </si>
  <si>
    <t>重要问题</t>
  </si>
  <si>
    <t>轻微问题</t>
  </si>
  <si>
    <t>建议问题</t>
  </si>
  <si>
    <t>梅州国防</t>
  </si>
  <si>
    <t>四旋翼无人机吊舱</t>
  </si>
  <si>
    <t>V6.18.0</t>
  </si>
  <si>
    <t>张俊杰</t>
  </si>
  <si>
    <t>桑启健</t>
  </si>
  <si>
    <t>BZ_WRJ_F403A_V6_18_0_20260106.hex</t>
  </si>
  <si>
    <t>1.板机测试指令发送，无人机关机（严重问题）
2.PDA裁决指令偶现不生效(重要问题)
3.屏幕显示4G：X，GPS:X,U8:X（重要问题）
4.万用表电量检测与PDA显示不一致（重要问题）
5.无法获取定位信息（严重问题）
6.PDA裁决训练后不能自动进入演习（重要问题）</t>
  </si>
  <si>
    <t>研发</t>
  </si>
  <si>
    <t>协议解析工具</t>
  </si>
  <si>
    <t>V2.0.5</t>
  </si>
  <si>
    <t>郭靖</t>
  </si>
  <si>
    <t>ProtocolTool-2026-1-8-1.rar</t>
  </si>
  <si>
    <t>电动仿真步枪</t>
  </si>
  <si>
    <t>V6.18.1</t>
  </si>
  <si>
    <t>刘光伟</t>
  </si>
  <si>
    <t>邬翔宇</t>
  </si>
  <si>
    <t>/</t>
  </si>
  <si>
    <t>App_BYJQ_95_F460_V6_18_1_20260115_1.bin
 App_ZDBQ_191_ZDBQ_F460_V6_18_1_20260115_1.bin
App_ZDBQ_95_1_F460_V6_18_1_20260115_1.bin</t>
  </si>
  <si>
    <t>研发发起新的审批流程，流程结束。</t>
  </si>
  <si>
    <t>电动仿真手枪</t>
  </si>
  <si>
    <t>App_FSJ_FZSQ48K_F460_V6_18_1_20260115_1.bin</t>
  </si>
  <si>
    <t>1：手枪打配对的单兵，受伤信息界面显示rid和pid均为0，pda激光测试接收到也为0
2：单兵显示训练模式，手枪对pda激光测试显示演习模式</t>
  </si>
  <si>
    <t>单兵-背甲</t>
  </si>
  <si>
    <t>App_DB_BJ_F460_V6_18_1_20260113_1.bin</t>
  </si>
  <si>
    <t>1.重度伤通过调理枪裁决到中度伤依然是武器锁死；如果先判活再中度伤就依然能打；卫勤救护是直接救到了回复战斗能力
2.不满足离线存储50条信息，再断电重启后，依然可自主上传（重启后存储数量变为0）
3.单兵出现一次“死机”，时间不再变化，但可以正常关机（严重问题）</t>
  </si>
  <si>
    <t>电动仿真步枪-191</t>
  </si>
  <si>
    <t>V6.18.2</t>
  </si>
  <si>
    <t>App_ZDBQ_191_ZDBQ_F460_V6_18_2_20260116_1.bin</t>
  </si>
  <si>
    <t>1.连发模式下，打完30发并没有后坐力反馈30次，仅15-16次</t>
  </si>
  <si>
    <t>通讯底板(外网4G + XY3206)</t>
  </si>
  <si>
    <t>V6.0.2</t>
  </si>
  <si>
    <t>胡万柱</t>
  </si>
  <si>
    <t>4Gboard_F403A_V6_0_2.hex
App_4Gboard_F403A_V6_0_2.bin</t>
  </si>
  <si>
    <t>V6.0.3</t>
  </si>
  <si>
    <t>4Gboard_F403A_V6_0_3_20260120.hex
App_4Gboard_F403A_V6_0_3_20260120.bin</t>
  </si>
  <si>
    <t>电动仿真手枪（48k）</t>
  </si>
  <si>
    <t>App_FSJ_FZSQ48K_F460_V6_18_2_20260120_1.bin</t>
  </si>
  <si>
    <t>电动仿真手枪（38k）</t>
  </si>
  <si>
    <t>App_FSJ_FZSQ38K_F460_V6_18_1_20260115_1.bin</t>
  </si>
  <si>
    <t>重装-主机</t>
  </si>
  <si>
    <t>App_ZZ_Main_F403A_V6_18_1_20260120.bin
ZZ_Main_F403A_V6_18_1_20260120.hex</t>
  </si>
  <si>
    <t>发货清单为“战场环境终端”，重装主机显示为“遥控烟雾发生器”（重要问题）</t>
  </si>
  <si>
    <t>升级工具</t>
  </si>
  <si>
    <t>V3.1.2</t>
  </si>
  <si>
    <t>沈忱</t>
  </si>
  <si>
    <t>UpgradeTool-2026-01-22-1.7z</t>
  </si>
  <si>
    <t>轻微问题：当前版本显示偶现0.0.0，不过点击‘一键更新版本号可重新获取’</t>
  </si>
  <si>
    <t>导控</t>
  </si>
  <si>
    <t>V1.0.0</t>
  </si>
  <si>
    <t>MapStudio
Backend.zip</t>
  </si>
  <si>
    <t>1.终端参数设定后出现弹窗未响应，运行程序卡住，随后终端全部离线（严重问题）</t>
  </si>
  <si>
    <t>App_BYJQ_95_F460_V6_18_2_20260127_1.bin
App_ZDBQ_95_1_F460_V6_18_2_20260127_1.bin
App_ZDBQ_191_ZDBQ_F460_V6_18_2_20260127_1.bin</t>
  </si>
  <si>
    <r>
      <rPr>
        <sz val="10"/>
        <rFont val="宋体"/>
        <charset val="134"/>
      </rPr>
      <t xml:space="preserve">1.激光训练靶靶和射手位终端连接不稳定，会出现断连的现象（严重问题/偶现）
2.射手位终端频繁出现重复报“脱靶 比赛开始”，打完10发就需要重启射手位终端（严重问题/必现）
3.射手位终端容易死机，不播报脱靶或中靶信息（严重问题/偶现）
4.功能缺失：射手位终端不具备与总控系统实现同步显示（严重问题/必现）
5.功能缺失：射手位终端不具备可设置报靶器靶位号，阀值，心跳周期，波特率，中心点坐标，靶图类型，屏幕亮度，夜训灯亮度、平板音量大小等参数和可读取通信模块相关参数信息，并进行设置（严重问题/必现）
6.射手位终端外观要求军绿色，目前为黑色（重要问题/必现）
7.射手位终端尺寸不符合235mm*170mm*47mm（重要问题/必现）
</t>
    </r>
    <r>
      <rPr>
        <sz val="10"/>
        <color rgb="FFFF0000"/>
        <rFont val="宋体"/>
        <charset val="134"/>
      </rPr>
      <t>95-1：</t>
    </r>
    <r>
      <rPr>
        <sz val="10"/>
        <rFont val="宋体"/>
        <charset val="134"/>
      </rPr>
      <t xml:space="preserve">
不通过：1.结构问题，调节单连发磁铁位置偏移导致霍尔元件检测异常，导致箭头指向2却依然为单发（严重问题 ）
2.连发模式下，打完30发并没有后坐力反馈30次，仅20-23次（重要问题）
</t>
    </r>
    <r>
      <rPr>
        <sz val="10"/>
        <color rgb="FFFF0000"/>
        <rFont val="宋体"/>
        <charset val="134"/>
      </rPr>
      <t>191；</t>
    </r>
    <r>
      <rPr>
        <sz val="10"/>
        <rFont val="宋体"/>
        <charset val="134"/>
      </rPr>
      <t xml:space="preserve">
不通过：1.连发模式下，打完30发并没有后坐力反馈30次，仅15-16次（重要问题）
</t>
    </r>
    <r>
      <rPr>
        <sz val="10"/>
        <color rgb="FFFF0000"/>
        <rFont val="宋体"/>
        <charset val="134"/>
      </rPr>
      <t>95；</t>
    </r>
    <r>
      <rPr>
        <sz val="10"/>
        <rFont val="宋体"/>
        <charset val="134"/>
      </rPr>
      <t xml:space="preserve">
不通过：1.结构问题，调节单连发磁铁位置偏移导致霍尔元件检测异常，导致箭头指向2却依然为单发（严重问题 ）
2.连发模式下，打完30发并没有后坐力反馈30次，仅20-23次（重要问题）
</t>
    </r>
  </si>
  <si>
    <t>Backend</t>
  </si>
  <si>
    <t>1.建议问题：显示版本号，导控无版本号区分
2. 发货清单为“战场环境终端”，导控方案编辑只有“遥控烟雾发生器”（重要问题）
3. 武器配置有错误，弹药参数和武器对不上（严重问题</t>
  </si>
  <si>
    <t>H14</t>
  </si>
  <si>
    <t>V3.0.1</t>
  </si>
  <si>
    <t>Backend
MapStudio</t>
  </si>
  <si>
    <t>程序研发现场自测，转测台账记录并归档。</t>
  </si>
  <si>
    <t>发射机(九轴版)-狙击枪</t>
  </si>
  <si>
    <t>臧美苏</t>
  </si>
  <si>
    <t>FSJ_ZDBQ_95_F460_V6_18_0_20260130_1.hex</t>
  </si>
  <si>
    <t>App_FSJ_JJBQ_58mm_F460_V6_18_1_20260130_1.bin</t>
  </si>
  <si>
    <t>App_BZ_WRJ_F403A_V6_18_1_20260203.bin
BZ_WRJ_F403A_V6_18_1_20260203.hex</t>
  </si>
  <si>
    <t>1.无人机与单兵PID一样时，无人机无法上线，单兵可以上线。（一般问题/偶现）
2.无人机被直瞄武器打中不同部位时导控中命中部位不显示。（重要问题/必现）
3.PDA裁决“关机”，无人机不关机，断电重启恢复正常。（重要问题/偶现难以复现）
4.长按关机键不松，出现第二次振动后松手设备会重新开机。（一般问题/必现）</t>
  </si>
  <si>
    <t>App_DB_BJ_F460_V6_18_2_20260203_1.bin
DB_BJ_F460_V6_18_2_20260203_1.hex</t>
  </si>
  <si>
    <t>App_ZZ_Main_F403A_V6_18_2_20260204.bin
ZZ_Main_F403A_V6_18_2_20260204.hex</t>
  </si>
  <si>
    <t>靶机声光烟模块</t>
  </si>
  <si>
    <t>V6.14.1</t>
  </si>
  <si>
    <t>朱杰</t>
  </si>
  <si>
    <t>App_ZNBD03_F403A_6_14_1.bin
ZNBD03_F403A_6_14_1.hex</t>
  </si>
  <si>
    <t>不通过：
1.工况信息-喇叭/语音模块，指令控制有响应，声音小，影响正常使用。（严重问题/必现）
2.有线APP升级，点击“获取版本信息”，无法获取。（重要问题/必现）</t>
  </si>
  <si>
    <t>V6.14.2</t>
  </si>
  <si>
    <t>App_ZNBD03_F403A_6_14_2.bin
ZNBD03_F403A_6_14_2.hex</t>
  </si>
  <si>
    <t>V6.14.3</t>
  </si>
  <si>
    <t xml:space="preserve">ZNBD03_F403A_6_14_3.hex
App_ZNBD03_F403A_6_14_3.bin
</t>
  </si>
  <si>
    <t>重装-一体化大灯</t>
  </si>
  <si>
    <t>V1.6.1</t>
  </si>
  <si>
    <t>App_ZZ_4DctLed_F460_V_1_6_1_20260324.bin
ZZ_4DctLed_F460_1_6_1_20260324.hex</t>
  </si>
  <si>
    <t>不通过：
1.通过PDA下发裁决指令（判死/判活），控制主机会不停重复语音播报（裁判死亡被击毁）（严重问题/必现）
2.通过PDA下发裁决指令（判死/判活），一体大灯接收到裁决指令后没有任何灯光反馈（严重问题/必现）
3.重装-一体化大灯版本为1.6.1，上一版归档台账为1.5.2，需统一版本管理（建议问题/必现）</t>
  </si>
  <si>
    <t>移动&amp;升降靶车&amp;起倒靶标</t>
  </si>
  <si>
    <t>V6.14.6</t>
  </si>
  <si>
    <t>App_ZNBA_F403A_6_14_6_20260401.bin
ZNBA_F403A_6_14_6_20260401.hex</t>
  </si>
  <si>
    <t xml:space="preserve">
1.升级后pid自动变为253，子类型自动变为0x05（铁甲），需手动修改类型和pid（严重问题/必现）
</t>
  </si>
  <si>
    <t>小探头</t>
  </si>
  <si>
    <t>V2.1.2</t>
  </si>
  <si>
    <t>张恩光</t>
  </si>
  <si>
    <t>LaserRecv_N32G031_V2_1_2_20260326.bin
LaserRecv_N32G031_V2_1_2_20260326.hex</t>
  </si>
  <si>
    <t>1.发射机间隔100ms持续打击探头6小时（15个探头串联），第4/6/7个探头（探头随机）接收裁决指令或打击指令无响应（探头不闪烁）。（重要问题/必现）</t>
  </si>
  <si>
    <t>V1.5.3</t>
  </si>
  <si>
    <t>App_ZZ_4DctLed_F460_V_1_5_3_20260326.bin
ZZ_4DctLed_F460_1_5_3_20260326.hex</t>
  </si>
  <si>
    <t>不通过：
1.长包解码率（打击）测试时出现四面探头死机，主机显示探头断联。分别在第730次和760次打击时出现，后续出现概率变频繁，重启设备可恢复（严重问题/偶现）
2.打不出后部中弹（严重问题/必现）
3.部位播报没有一一对应，不灵敏，打其他部位会报前部中弹（严重问题/必现）</t>
  </si>
  <si>
    <t>V1.5.4</t>
  </si>
  <si>
    <t>App_ZZ_4DctLed_F460_V_1_5_4_20260327.bin
ZZ_4DctLed_F460_1_5_4_20260327.hex</t>
  </si>
  <si>
    <t xml:space="preserve">
不通过：
1.升级（有线）测试,无法通过升级工具获取到版本信息（重要问题/必现）
2.工况信息-灯控测试中，白色灯控制呈现的是黄色，紫色灯控制呈现玫红与红色灯控区分不明显（建议问题/必现）
3.工况信息-RGB调色中，浅色系颜色区分不明显（建议问题/必现）
4.压力测试：100ms发射机持续打击，5小时后，激光发射控制左部位无激光接收数据，重启恢复正常，7小时，探头死机，无数据，重启正常（重要问题/偶现）</t>
  </si>
  <si>
    <t>V6.14.7</t>
  </si>
  <si>
    <t>App_ZNBA_F403A_6_14_7_20260420.bin
ZNBA_F403A_6_14_7_20260420.hex</t>
  </si>
  <si>
    <t>存在缺陷：
1.靶机状态上传演习训练模式会自动变化（严重问题/必现）
2.硬件/结构：导控端连续快速点击控制起倒会导致靶机起倒不响应，手动控制依然无效，但靶机在运行，且其他下行指令正常包括远程关机指令（严重问题/必现）</t>
  </si>
  <si>
    <t>V6.14.8</t>
  </si>
  <si>
    <t>App_ZNBA_F403A_6_14_8_20260422.bin
ZNBA_F403A_6_14_8_20260422.hex</t>
  </si>
  <si>
    <t>TS项目</t>
  </si>
  <si>
    <t>发射机</t>
  </si>
  <si>
    <t>V6.19.0</t>
  </si>
  <si>
    <t>FSJ_F460_V6_19_0_20260424_1.hex</t>
  </si>
  <si>
    <t>单兵-头盔</t>
  </si>
  <si>
    <t>DB_TK_F403A_V6_19_0_20260424.hex</t>
  </si>
  <si>
    <t>存在缺陷：
1.头盔修改功率成功后重启恢复成默认功率（严重问题/必现）</t>
  </si>
  <si>
    <t>LT268B_MCU_Code.bin
UartTFT-II_Flash.bin
DB_BJ_F460_V6_19_0_20260424_1.hex</t>
  </si>
  <si>
    <t xml:space="preserve">存在缺陷：
1.应用功能-修改ID：修改ID，设置RIDID：255/PID：65535，屏幕显示25/6553。（严重问题/必现）
2.程序支持修改功率值，需要重启（重要问题/必现）
3.应用功能-配对，配对信息详情不显示子设备武器详情（重要问题/必现）
4.板级测试，PDA红外获取，无返回数据（严重问题/频现（30/21）70%以上）
</t>
  </si>
  <si>
    <t>V6.19.1</t>
  </si>
  <si>
    <t>ZZ_ZJ_F403A_V6_19_1_20260424_0.hex</t>
  </si>
  <si>
    <t>1.没有安装lora模块，主机屏幕却显示lora为1（重要问题/必现）
2.连接好击伤/击毁烟雾罐测试灯，用生产用PDA，选择“板级测试”界面；对准主控红外通讯，点击“发送”按键，查看测试灯点亮情况。两个灯闪烁循环方式是：一个灯双闪后另一个灯单闪（建议问题/必现）
PS：侦打突击无人车模拟终端与通用型无人车模拟终端还未加入到重装类型中</t>
  </si>
  <si>
    <t>PDA</t>
  </si>
  <si>
    <t>V6.19.80</t>
  </si>
  <si>
    <t>PDA_F403A_V6_19_80(1).hex</t>
  </si>
  <si>
    <t>板级测试：
1.PDA开机时，语音播报“系统关机”（重要问题/必现）
2.偶现点击“激光测试”或者“配对”没有反应（重要问题/偶现概率：1/10）
3.生产用pda,选择“板级测试”界面，点击“发送”按键，对准PDA红外通讯，查看pda返回数据，偶现无数据（重要问题/偶现概率：1/5）
PS：PDA暂时无界面程序，界面UI与指标要求部分不符合
应用功能：
1.终端检测器没有添加无人车类型和子类型（通用型无人车和侦打突击无人车）
屏幕控件未更新（发货的已经更新）
2.绑定单兵死亡时点击工兵排雷模拟器任意功能键，出现弹窗提示主控被锁定，弹窗屏幕显示轻微花屏
不能点击是因为背甲死亡，锁定了PDA,花屏现象未复现
3.工兵排雷仪有效连接距离大约有120米
测试版本不对，更改为汤山版本后，更改功率为0，测试距离为10米左右。</t>
  </si>
  <si>
    <t>调理枪</t>
  </si>
  <si>
    <t>TLQ_F403A_V6_19_1_2026_0424_1.hex</t>
  </si>
  <si>
    <t>手雷</t>
  </si>
  <si>
    <t>SL_G031_V6_19_1_20260424_1.hex</t>
  </si>
  <si>
    <t>V7.1.0</t>
  </si>
  <si>
    <t>DB_BJ_F460_V7_1_0_20260428_1.hex</t>
  </si>
  <si>
    <t>1.板级测试，PDA红外获取，无返回数据（严重问题/频现（30/21）70%以上）</t>
  </si>
  <si>
    <t>FSJ_F460_V7_1_0_20260428_1.hex</t>
  </si>
  <si>
    <t>V7.1.1</t>
  </si>
  <si>
    <t>PDA_F403A_V7_1_1_20260429.hex</t>
  </si>
  <si>
    <t xml:space="preserve">1.弹窗屏幕显示轻微花屏（轻微问题/偶现）
2.指标：与单兵装具通信距离：1m,工兵排雷仪有效连接距离大约有10-15米左右(功率为0)，需复测（严重问题/必现）
</t>
  </si>
  <si>
    <t>重装-舱内机</t>
  </si>
  <si>
    <t>ZZ_Cnj_F403A_V7_1_1_20260429_1.hex</t>
  </si>
  <si>
    <t>ZZ_Main_F403A_V7_1_1_20260428_0.hex</t>
  </si>
  <si>
    <t xml:space="preserve">存在缺陷：
1.‘侦打突击无人车’与‘通用型无人车‘主机显示终端名称为'无人侦察车'和’无人车‘
应用功能“
2.侦打突击无人车武器类型切换不支持
3.侦打突击无人车攻击模拟功能不支持
4.重装设备在大约10米距离被反坦克地雷命中时，发出‘滴滴’声音，屏幕显示‘击伤’。但是没有爆炸音效和灯光提示且继续炸不会致其死亡。（重要问题/必现）
</t>
  </si>
  <si>
    <t>V60.2.7</t>
  </si>
  <si>
    <t>STBatchUpgradeTool-2026-04-29</t>
  </si>
  <si>
    <t>DB_TK_F403A_V7_1_0_20260428.hex</t>
  </si>
  <si>
    <t>KB项目</t>
  </si>
  <si>
    <t>工兵排雷仪</t>
  </si>
  <si>
    <t>工兵排雷：
板级测试板级烧录程序执行测试用例12条，已通过10条，存在缺陷2条。
1.应用功能-更改功率，无法更改功率（严重问题/必现）
2.工况信息-电量检测，无法通过电压输出，实时检测电量输出功能（严重问题/必现）
应用功能测试已覆盖技术标准或偏离表9条，已通过 4条，存在缺陷4条，不具备测试条件1条（与单兵通讯距离1-5米）。
存在缺陷：
1.功能缺失：无布雷信息上传（严重问题/必现）
2.功能缺失：无排雷信息上传（严重问题/必现）
3.功能缺失：上传布排雷结果（严重问题/必现）
4.无法实时电量过低告警，目前功能为开机自检1次（严重问题/必现）</t>
  </si>
  <si>
    <t>App_DB_BJ_F460_V7_1_1_20260506_1.bin</t>
  </si>
  <si>
    <t>1.单组电池充电时间：6H，实测7H左右。(严重问题/必现)
2.按键唤醒，伤势列表刷新慢（建议问题/必现）
3.配对信息详情对齐（建议问题/必现）
4.绑定PDA，界面显示实际绑定类型（终端检测器/工兵排雷）（建议问题/必现）
5.低电量，关闭探头/电台（建议问题/必现）
6.偶现背甲屏幕时间显示错误（轻微问题/偶现）
7.中途发射机开机，不播报“武器已连接”（建议问题/必现）
8.单兵火箭筒屏幕显示连接，无法击发，解绑后重新绑定正常击发。（轻微问题/偶现）</t>
  </si>
  <si>
    <t>FSJ_F460_V7_1_1_20260506_1.hex
App_FSJ_F460_V7_1_1_20260506_1.bin</t>
  </si>
  <si>
    <t>自动步枪/狙击枪/霰弹枪
1.激光发射机重量270±10g,实测不符合。</t>
  </si>
  <si>
    <t>通讯底板(M600C + XY3206)</t>
  </si>
  <si>
    <t>武金培</t>
  </si>
  <si>
    <t>4GBoard_F403A_V6_0_0_20260506.hex
App_4Gboard_F403A_V7_1_1.bin</t>
  </si>
  <si>
    <t>地雷</t>
  </si>
  <si>
    <t>FBBDL_F403A_V7_1_0_20260429_1.hex
FTKDL_F403A_V7_1_0_20260429_1.hex</t>
  </si>
  <si>
    <t>1.指标要求“触发压力10kg”，14kg以上触发（严重问题/必现）
2.步兵雷：软件程序配置杀伤半径5米（严重问题/必现）
3.步兵雷：指标要求杀伤半径5m，实测5m外有毁伤，需RTK精准距离复测（严重问题/必现）
4.坦克雷：软件程序配置杀伤半径17米（严重问题/必现）
5.坦克雷：指标要求杀伤半径10m，实测10m外有毁伤，需RTK精准距离复测（严重问题/必现）</t>
  </si>
  <si>
    <t>调理终端</t>
  </si>
  <si>
    <t>调理终端最终版本.apk</t>
  </si>
  <si>
    <t>不通过指标：
1.参数设置：
①调理终端没有身份、级别显示（重要问题/必现）
②调理终端设置有轨靶车的挡位速度时，偶现不生效或者错误（如：从2档速度切换到8档速度没有变化，或者5档切换到8档速度反而变慢）（重要问题/偶现概率60%）
③通过调理终端或者导控下发前进、后退、停止指令时大概率出现指令不生效情况，且靶车出现无法停止前进后退的情况（严重问题/偶现概率90%）
2.调理态势显示：战场态势显示空白（重要问题/必现）
3.导调通信：调理终端与主控软件之间没有互发语音、照片、短视频、文件等信息（严重问题/必现）
4.战术能力评估：没有预置作战能力评估模型，不能实时采集红拒绝你指挥、战术动作等战术行为、能力、指标等数据（重要问题/必现）</t>
  </si>
  <si>
    <t>（汤山）导控</t>
  </si>
  <si>
    <t xml:space="preserve">1.编程编组方案以excel方式导入导出，发货电脑缺少安装WPS（严重问题/必现）
2.操作虚拟人装机动和打击，发货导控需改动（严重问题/必现）
3.管控虚拟仿真人装移动和裁决，发货导控需改动（严重问题/必现）
4.显示车辆乘员信息，目前重装无人车没有设置人员上下车（严重问题/必现）
5.不具备测试条件：加载卸载军用电子地图，军用电子地图涉密（严重问题/必现）
6.不具备测试条件：三维态势显示需接入系统软件，我们只负责上传数据（严重问题/必现）
7.不具有可接受时统信息功能（严重问题/必现）
8.导控下行指令重复下发多次（全场判死/全场复活等下行指令）（严重问题/必现）
</t>
  </si>
  <si>
    <t>FBBDL_F403A_V7_1_1_20260507_1.hex
App_FBBDL_F403A_V7_1_1_20260507_1.bin</t>
  </si>
  <si>
    <t>1.指标要求“触发压力10kg”，实际使用压力计后需达到30kg才能触发，10-30kg触发不了（严重问题/必现）
2.单组电池充电时间：6h，实际超过7h（严重问题/必现）</t>
  </si>
  <si>
    <t>V7.1.2</t>
  </si>
  <si>
    <t>App_ZZ_Main_F403A_V7_1_2_20260507_0.bin
ZZ_Main_F403A_V7_1_2_20260507_0.hex</t>
  </si>
  <si>
    <t>PDA_F403A_V7_1_2_20260512.hex</t>
  </si>
  <si>
    <t>1.指标要求最大无线通讯距离1-5米：实测5米外可正常通讯（10米内），11米外概率性断开。（严重问题/必现）
2.指标要求与单兵绑定：单兵关机，不绑定单兵，可正常布雷，排雷，产品本身不具备是否绑定/解绑单兵成功提示。（重要问题/必现）
3.指标要求实时向单兵装具上传布排雷结果：实测存在布排雷成功，单兵未播报“布排雷成功”，无事件上传（10%）。（重要问题/偶现）
4.指标要求产品实时检测布排雷失败，按布雷，排雷按键，指示灯蜂鸣器提示正常，（雷）实际布排雷失败，产品本身无法实时检测布、排雷失败（20%）（重要问题/偶现）
5.产品要求能实时检测电量过低告警，目前无此功能。（严重问题/必现）</t>
  </si>
  <si>
    <t>V6.14.9</t>
  </si>
  <si>
    <t>App_ZNBA_F403A_6_14_9_20260514.bin</t>
  </si>
  <si>
    <t>V7.1.3</t>
  </si>
  <si>
    <t>ZZ_Main_F403A_V7_1_3_20260521_0.hex
App_ZZ_Main_F403A_V7_1_3_20260521_0.bin</t>
  </si>
  <si>
    <t>演习模式下，重装发射机打击单兵没有毁伤（严重问题 必现）</t>
  </si>
  <si>
    <t>V1.0.1</t>
  </si>
  <si>
    <t>调理终端-20260522.apk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</si>
</sst>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color theme="1"/>
      <name val="宋体"/>
      <charset val="134"/>
      <scheme val="minor"/>
    </font>
    <font>
      <sz val="11"/>
      <color rgb="FF000000"/>
      <name val="宋体"/>
      <charset val="134"/>
    </font>
    <font>
      <sz val="12"/>
      <name val="宋体"/>
      <charset val="134"/>
      <scheme val="minor"/>
    </font>
    <font>
      <sz val="10"/>
      <color rgb="FF000000"/>
      <name val="宋体"/>
      <charset val="134"/>
      <scheme val="minor"/>
    </font>
    <font>
      <sz val="10"/>
      <color theme="1"/>
      <name val="宋体"/>
      <charset val="134"/>
      <scheme val="minor"/>
    </font>
    <font>
      <b/>
      <sz val="14"/>
      <name val="宋体"/>
      <charset val="134"/>
    </font>
    <font>
      <b/>
      <sz val="14"/>
      <color rgb="FFFF0000"/>
      <name val="宋体"/>
      <charset val="134"/>
    </font>
    <font>
      <sz val="11"/>
      <name val="宋体"/>
      <charset val="134"/>
    </font>
    <font>
      <sz val="10"/>
      <name val="宋体"/>
      <charset val="134"/>
    </font>
    <font>
      <sz val="11"/>
      <color rgb="FFFF0000"/>
      <name val="宋体"/>
      <charset val="134"/>
    </font>
    <font>
      <sz val="10"/>
      <color rgb="FFFF0000"/>
      <name val="宋体"/>
      <charset val="134"/>
    </font>
    <font>
      <sz val="10"/>
      <name val="宋体"/>
      <charset val="134"/>
      <scheme val="minor"/>
    </font>
    <font>
      <sz val="10"/>
      <color rgb="FF000000"/>
      <name val="宋体"/>
      <charset val="134"/>
    </font>
    <font>
      <sz val="10"/>
      <color rgb="FFFF0000"/>
      <name val="宋体"/>
      <charset val="134"/>
      <scheme val="minor"/>
    </font>
    <font>
      <sz val="10"/>
      <color rgb="FFFF000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5" borderId="1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2" applyNumberFormat="0" applyFill="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3" fillId="0" borderId="0" applyNumberFormat="0" applyFill="0" applyBorder="0" applyAlignment="0" applyProtection="0">
      <alignment vertical="center"/>
    </xf>
    <xf numFmtId="0" fontId="24" fillId="6" borderId="14" applyNumberFormat="0" applyAlignment="0" applyProtection="0">
      <alignment vertical="center"/>
    </xf>
    <xf numFmtId="0" fontId="25" fillId="7" borderId="15" applyNumberFormat="0" applyAlignment="0" applyProtection="0">
      <alignment vertical="center"/>
    </xf>
    <xf numFmtId="0" fontId="26" fillId="7" borderId="14" applyNumberFormat="0" applyAlignment="0" applyProtection="0">
      <alignment vertical="center"/>
    </xf>
    <xf numFmtId="0" fontId="27" fillId="8" borderId="16" applyNumberFormat="0" applyAlignment="0" applyProtection="0">
      <alignment vertical="center"/>
    </xf>
    <xf numFmtId="0" fontId="28" fillId="0" borderId="17" applyNumberFormat="0" applyFill="0" applyAlignment="0" applyProtection="0">
      <alignment vertical="center"/>
    </xf>
    <xf numFmtId="0" fontId="29" fillId="0" borderId="18"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110">
    <xf numFmtId="0" fontId="0" fillId="0" borderId="0" xfId="0">
      <alignment vertical="center"/>
    </xf>
    <xf numFmtId="0" fontId="1" fillId="0" borderId="0" xfId="0" applyFont="1" applyAlignment="1">
      <alignment vertical="center" wrapText="1"/>
    </xf>
    <xf numFmtId="0" fontId="1" fillId="0" borderId="0" xfId="0" applyFont="1" applyFill="1" applyAlignment="1">
      <alignment vertical="center" wrapText="1"/>
    </xf>
    <xf numFmtId="0" fontId="0" fillId="0" borderId="0" xfId="0" applyFill="1">
      <alignment vertical="center"/>
    </xf>
    <xf numFmtId="0" fontId="2" fillId="0" borderId="0" xfId="0" applyFont="1" applyFill="1">
      <alignment vertical="center"/>
    </xf>
    <xf numFmtId="0" fontId="3" fillId="0" borderId="0" xfId="0" applyFont="1" applyFill="1">
      <alignment vertical="center"/>
    </xf>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1" xfId="0" applyBorder="1">
      <alignment vertical="center"/>
    </xf>
    <xf numFmtId="0" fontId="2" fillId="0" borderId="1" xfId="0" applyFont="1" applyFill="1" applyBorder="1" applyAlignment="1">
      <alignment horizontal="center" vertical="center"/>
    </xf>
    <xf numFmtId="0" fontId="2" fillId="0" borderId="1" xfId="0" applyFont="1" applyFill="1" applyBorder="1">
      <alignment vertical="center"/>
    </xf>
    <xf numFmtId="0" fontId="0" fillId="0" borderId="1" xfId="0" applyFill="1" applyBorder="1">
      <alignment vertical="center"/>
    </xf>
    <xf numFmtId="0" fontId="0" fillId="0" borderId="1" xfId="0" applyBorder="1" applyAlignment="1">
      <alignment horizontal="center" vertical="center"/>
    </xf>
    <xf numFmtId="0" fontId="0" fillId="0" borderId="0" xfId="0" applyFill="1" applyAlignment="1">
      <alignment horizontal="center" vertical="center"/>
    </xf>
    <xf numFmtId="0" fontId="2" fillId="0" borderId="0" xfId="0" applyFont="1" applyFill="1">
      <alignment vertical="center"/>
    </xf>
    <xf numFmtId="0" fontId="1" fillId="0" borderId="0" xfId="0" applyFont="1" applyAlignment="1">
      <alignment horizontal="center" vertical="center" wrapText="1"/>
    </xf>
    <xf numFmtId="0" fontId="0" fillId="0" borderId="0" xfId="0" applyBorder="1">
      <alignment vertical="center"/>
    </xf>
    <xf numFmtId="0" fontId="5" fillId="0" borderId="2" xfId="0" applyFont="1" applyBorder="1" applyAlignment="1" applyProtection="1">
      <alignment horizontal="center" vertical="center" wrapText="1"/>
    </xf>
    <xf numFmtId="0" fontId="6" fillId="0" borderId="2" xfId="0" applyFont="1" applyBorder="1" applyAlignment="1" applyProtection="1">
      <alignment horizontal="center" vertical="center" wrapText="1"/>
    </xf>
    <xf numFmtId="0" fontId="6" fillId="0" borderId="3" xfId="0" applyFont="1" applyBorder="1" applyAlignment="1" applyProtection="1">
      <alignment horizontal="center" vertical="center" wrapText="1"/>
    </xf>
    <xf numFmtId="0" fontId="5" fillId="3" borderId="2" xfId="0" applyFont="1" applyFill="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0" borderId="5"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1" fillId="0" borderId="0" xfId="0" applyFont="1" applyBorder="1" applyAlignment="1">
      <alignment vertical="center" wrapText="1"/>
    </xf>
    <xf numFmtId="0" fontId="7" fillId="0" borderId="2" xfId="0" applyFont="1" applyFill="1" applyBorder="1" applyAlignment="1" applyProtection="1">
      <alignment horizontal="center" vertical="center" wrapText="1"/>
    </xf>
    <xf numFmtId="0" fontId="8" fillId="0" borderId="2" xfId="0" applyFont="1" applyFill="1" applyBorder="1" applyAlignment="1" applyProtection="1">
      <alignment horizontal="center" vertical="center" wrapText="1"/>
    </xf>
    <xf numFmtId="14" fontId="8" fillId="0" borderId="2" xfId="0" applyNumberFormat="1" applyFont="1" applyFill="1" applyBorder="1" applyAlignment="1" applyProtection="1">
      <alignment horizontal="center" vertical="center" wrapText="1"/>
    </xf>
    <xf numFmtId="14" fontId="7" fillId="0" borderId="2" xfId="0" applyNumberFormat="1" applyFont="1" applyFill="1" applyBorder="1" applyAlignment="1" applyProtection="1">
      <alignment horizontal="center" vertical="center" wrapText="1"/>
    </xf>
    <xf numFmtId="0" fontId="9" fillId="0" borderId="2" xfId="0" applyFont="1" applyFill="1" applyBorder="1" applyAlignment="1" applyProtection="1">
      <alignment horizontal="center" vertical="center" wrapText="1"/>
    </xf>
    <xf numFmtId="0" fontId="10" fillId="0" borderId="2"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xf>
    <xf numFmtId="0" fontId="1" fillId="0" borderId="2"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7" fillId="0" borderId="0" xfId="0" applyFont="1" applyFill="1" applyAlignment="1">
      <alignment horizontal="center" vertical="center"/>
    </xf>
    <xf numFmtId="0" fontId="11" fillId="0" borderId="2" xfId="0" applyFont="1" applyFill="1" applyBorder="1" applyProtection="1">
      <alignment vertical="center"/>
    </xf>
    <xf numFmtId="0" fontId="7" fillId="0" borderId="2" xfId="0" applyFont="1" applyFill="1" applyBorder="1" applyAlignment="1" applyProtection="1">
      <alignment horizontal="center" vertical="center"/>
    </xf>
    <xf numFmtId="0" fontId="7" fillId="0" borderId="2" xfId="0" applyFont="1" applyFill="1" applyBorder="1" applyAlignment="1" applyProtection="1">
      <alignment vertical="center" wrapText="1"/>
    </xf>
    <xf numFmtId="0" fontId="8" fillId="0" borderId="6"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xf>
    <xf numFmtId="0" fontId="12" fillId="0" borderId="2"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14" fontId="12" fillId="0" borderId="2" xfId="0" applyNumberFormat="1" applyFont="1" applyFill="1" applyBorder="1" applyAlignment="1" applyProtection="1">
      <alignment horizontal="center" vertical="center" wrapText="1"/>
    </xf>
    <xf numFmtId="14" fontId="1" fillId="0" borderId="2" xfId="0" applyNumberFormat="1" applyFont="1" applyFill="1" applyBorder="1" applyAlignment="1" applyProtection="1">
      <alignment horizontal="center" vertical="center" wrapText="1"/>
    </xf>
    <xf numFmtId="0" fontId="12" fillId="0" borderId="6" xfId="0" applyFont="1" applyFill="1" applyBorder="1" applyAlignment="1" applyProtection="1">
      <alignment horizontal="center" vertical="center" wrapText="1"/>
    </xf>
    <xf numFmtId="0" fontId="3" fillId="0" borderId="2" xfId="0" applyFont="1" applyFill="1" applyBorder="1" applyProtection="1">
      <alignment vertical="center"/>
    </xf>
    <xf numFmtId="0" fontId="11" fillId="0" borderId="2" xfId="0" applyFont="1" applyFill="1" applyBorder="1" applyAlignment="1" applyProtection="1">
      <alignment horizontal="center" vertical="center"/>
    </xf>
    <xf numFmtId="0" fontId="13" fillId="0" borderId="2" xfId="0" applyFont="1" applyFill="1" applyBorder="1" applyAlignment="1" applyProtection="1">
      <alignment horizontal="center" vertical="center"/>
    </xf>
    <xf numFmtId="0" fontId="7" fillId="0" borderId="2" xfId="0" applyFont="1" applyFill="1" applyBorder="1" applyAlignment="1" applyProtection="1">
      <alignment horizontal="left" vertical="center" wrapText="1"/>
    </xf>
    <xf numFmtId="0" fontId="14" fillId="0" borderId="2" xfId="0" applyFont="1" applyFill="1" applyBorder="1" applyAlignment="1" applyProtection="1">
      <alignment horizontal="center" vertical="center"/>
    </xf>
    <xf numFmtId="0" fontId="8" fillId="0" borderId="2" xfId="0" applyFont="1" applyFill="1" applyBorder="1" applyAlignment="1" applyProtection="1">
      <alignment horizontal="left" vertical="center" wrapText="1"/>
    </xf>
    <xf numFmtId="0" fontId="13" fillId="0" borderId="4" xfId="0" applyFont="1" applyFill="1" applyBorder="1" applyAlignment="1" applyProtection="1">
      <alignment horizontal="center" vertical="center"/>
    </xf>
    <xf numFmtId="0" fontId="13" fillId="0" borderId="3" xfId="0" applyFont="1" applyFill="1" applyBorder="1" applyAlignment="1" applyProtection="1">
      <alignment horizontal="center" vertical="center"/>
    </xf>
    <xf numFmtId="0" fontId="10" fillId="0" borderId="2"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1" fillId="0" borderId="2" xfId="0" applyFont="1" applyBorder="1" applyProtection="1">
      <alignment vertical="center"/>
    </xf>
    <xf numFmtId="0" fontId="11" fillId="0" borderId="3" xfId="0" applyFont="1" applyBorder="1" applyAlignment="1" applyProtection="1">
      <alignment horizontal="center" vertical="center"/>
    </xf>
    <xf numFmtId="0" fontId="11" fillId="0" borderId="2" xfId="0" applyFont="1" applyBorder="1" applyAlignment="1" applyProtection="1">
      <alignment horizontal="center" vertical="center"/>
    </xf>
    <xf numFmtId="0" fontId="8" fillId="0" borderId="2" xfId="0" applyFont="1" applyBorder="1" applyAlignment="1" applyProtection="1">
      <alignment horizontal="center" vertical="center" wrapText="1"/>
    </xf>
    <xf numFmtId="0" fontId="11" fillId="0" borderId="3" xfId="0" applyFont="1" applyBorder="1" applyProtection="1">
      <alignment vertical="center"/>
    </xf>
    <xf numFmtId="0" fontId="8" fillId="0" borderId="1" xfId="0" applyFont="1" applyFill="1" applyBorder="1" applyAlignment="1" applyProtection="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0" fillId="0" borderId="1" xfId="0"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12" fillId="2" borderId="1" xfId="0" applyFont="1" applyFill="1" applyBorder="1" applyAlignment="1">
      <alignment horizontal="center" vertical="center" wrapText="1"/>
    </xf>
    <xf numFmtId="14" fontId="8" fillId="2" borderId="2" xfId="0" applyNumberFormat="1" applyFont="1" applyFill="1" applyBorder="1" applyAlignment="1" applyProtection="1">
      <alignment horizontal="center" vertical="center" wrapText="1"/>
    </xf>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12" fillId="2" borderId="1" xfId="0" applyFont="1" applyFill="1" applyBorder="1" applyAlignment="1">
      <alignment vertical="center" wrapText="1"/>
    </xf>
    <xf numFmtId="0" fontId="1" fillId="0" borderId="1" xfId="0" applyFont="1" applyFill="1" applyBorder="1" applyAlignment="1">
      <alignment vertical="center" wrapText="1"/>
    </xf>
    <xf numFmtId="14" fontId="8" fillId="0" borderId="1" xfId="0" applyNumberFormat="1" applyFont="1" applyFill="1" applyBorder="1" applyAlignment="1" applyProtection="1">
      <alignment horizontal="center" vertical="center" wrapText="1"/>
    </xf>
    <xf numFmtId="0" fontId="1" fillId="0" borderId="8" xfId="0" applyFont="1" applyBorder="1" applyAlignment="1">
      <alignment vertical="center" wrapText="1"/>
    </xf>
    <xf numFmtId="0" fontId="1" fillId="0" borderId="8" xfId="0" applyFont="1" applyBorder="1" applyAlignment="1">
      <alignment horizontal="center" vertical="center" wrapText="1"/>
    </xf>
    <xf numFmtId="0" fontId="10" fillId="0" borderId="8" xfId="0" applyFont="1" applyBorder="1" applyAlignment="1" applyProtection="1">
      <alignment horizontal="center" vertical="center" wrapText="1"/>
    </xf>
    <xf numFmtId="0" fontId="0" fillId="0" borderId="8" xfId="0" applyBorder="1" applyAlignment="1">
      <alignment horizontal="center" vertical="center"/>
    </xf>
    <xf numFmtId="0" fontId="0" fillId="0" borderId="9" xfId="0" applyBorder="1">
      <alignment vertical="center"/>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9" xfId="0" applyFont="1" applyFill="1" applyBorder="1" applyAlignment="1">
      <alignment horizontal="center" vertical="center"/>
    </xf>
    <xf numFmtId="0" fontId="8" fillId="4" borderId="1" xfId="0" applyFont="1" applyFill="1" applyBorder="1" applyAlignment="1" applyProtection="1">
      <alignment horizontal="center" vertical="center" wrapText="1"/>
    </xf>
    <xf numFmtId="0" fontId="2" fillId="0" borderId="0" xfId="0" applyFont="1" applyFill="1" applyBorder="1">
      <alignment vertical="center"/>
    </xf>
    <xf numFmtId="0" fontId="2" fillId="0" borderId="9" xfId="0" applyFont="1" applyFill="1" applyBorder="1">
      <alignment vertical="center"/>
    </xf>
    <xf numFmtId="0" fontId="1" fillId="0" borderId="1" xfId="0" applyFont="1" applyFill="1" applyBorder="1" applyAlignment="1">
      <alignment horizontal="center" vertical="center" wrapText="1"/>
    </xf>
    <xf numFmtId="0" fontId="10" fillId="0" borderId="1" xfId="0" applyFont="1" applyFill="1" applyBorder="1" applyAlignment="1" applyProtection="1">
      <alignment horizontal="center" vertical="center" wrapText="1"/>
    </xf>
    <xf numFmtId="0" fontId="1" fillId="0" borderId="1" xfId="0" applyFont="1" applyFill="1" applyBorder="1" applyAlignment="1">
      <alignment horizontal="left" vertical="center" wrapText="1"/>
    </xf>
    <xf numFmtId="0" fontId="0" fillId="0" borderId="1" xfId="0" applyFill="1" applyBorder="1" applyAlignment="1">
      <alignment horizontal="center" vertical="center"/>
    </xf>
    <xf numFmtId="0" fontId="0" fillId="0" borderId="0" xfId="0" applyFill="1" applyBorder="1">
      <alignment vertical="center"/>
    </xf>
    <xf numFmtId="0" fontId="0" fillId="0" borderId="9" xfId="0" applyFill="1" applyBorder="1">
      <alignment vertical="center"/>
    </xf>
    <xf numFmtId="0" fontId="1" fillId="0" borderId="1" xfId="0" applyFont="1" applyBorder="1" applyAlignment="1">
      <alignment horizontal="left" vertical="center" wrapText="1"/>
    </xf>
    <xf numFmtId="0" fontId="0" fillId="0" borderId="0" xfId="0" applyBorder="1" applyAlignment="1">
      <alignment horizontal="center" vertical="center"/>
    </xf>
    <xf numFmtId="0" fontId="0" fillId="0" borderId="9" xfId="0" applyBorder="1" applyAlignment="1">
      <alignment horizontal="center" vertical="center"/>
    </xf>
    <xf numFmtId="0" fontId="0" fillId="0" borderId="0" xfId="0" applyFill="1" applyBorder="1" applyAlignment="1">
      <alignment horizontal="center" vertical="center"/>
    </xf>
    <xf numFmtId="0" fontId="8" fillId="0"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14" fontId="8" fillId="0" borderId="1" xfId="0" applyNumberFormat="1" applyFont="1" applyFill="1" applyBorder="1" applyAlignment="1" applyProtection="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xf>
    <xf numFmtId="0" fontId="2" fillId="0" borderId="1" xfId="0" applyFont="1" applyFill="1" applyBorder="1">
      <alignment vertical="center"/>
    </xf>
    <xf numFmtId="0" fontId="2" fillId="0" borderId="0" xfId="0" applyFont="1" applyFill="1" applyBorder="1">
      <alignment vertical="center"/>
    </xf>
    <xf numFmtId="0" fontId="10" fillId="0" borderId="10" xfId="0" applyFont="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N71"/>
  <sheetViews>
    <sheetView tabSelected="1" zoomScale="55" zoomScaleNormal="55" workbookViewId="0">
      <pane ySplit="1" topLeftCell="A27" activePane="bottomLeft" state="frozen"/>
      <selection/>
      <selection pane="bottomLeft" activeCell="C62" sqref="C62:X62"/>
    </sheetView>
  </sheetViews>
  <sheetFormatPr defaultColWidth="9.71666666666667" defaultRowHeight="14.4" customHeight="1"/>
  <cols>
    <col min="1" max="1" width="9.71666666666667" style="1"/>
    <col min="2" max="2" width="12.5" style="1" customWidth="1"/>
    <col min="3" max="3" width="25.7" style="1" customWidth="1"/>
    <col min="4" max="4" width="10.45" style="1" customWidth="1"/>
    <col min="5" max="6" width="9.71666666666667" style="1" customWidth="1"/>
    <col min="7" max="7" width="19.25" style="1" customWidth="1"/>
    <col min="8" max="8" width="17.05" style="1" customWidth="1"/>
    <col min="9" max="10" width="18.5166666666667" style="1" customWidth="1"/>
    <col min="11" max="12" width="9.71666666666667" style="16" customWidth="1"/>
    <col min="13" max="13" width="48.95" style="1" customWidth="1"/>
    <col min="14" max="14" width="37.5833333333333" style="1" customWidth="1"/>
    <col min="15" max="16" width="9.71666666666667" style="16" customWidth="1"/>
    <col min="17" max="17" width="9.71666666666667" style="16"/>
    <col min="19" max="19" width="12.4666666666667" customWidth="1"/>
    <col min="20" max="20" width="13.8416666666667" customWidth="1"/>
    <col min="21" max="21" width="12.4666666666667" customWidth="1"/>
    <col min="22" max="22" width="13.425" customWidth="1"/>
    <col min="23" max="143" width="9.71666666666667" style="17"/>
  </cols>
  <sheetData>
    <row r="1" s="1" customFormat="1" ht="33" customHeight="1" spans="1:143">
      <c r="A1" s="18" t="s">
        <v>0</v>
      </c>
      <c r="B1" s="18" t="s">
        <v>1</v>
      </c>
      <c r="C1" s="18" t="s">
        <v>2</v>
      </c>
      <c r="D1" s="18" t="s">
        <v>3</v>
      </c>
      <c r="E1" s="18" t="s">
        <v>4</v>
      </c>
      <c r="F1" s="18" t="s">
        <v>5</v>
      </c>
      <c r="G1" s="18" t="s">
        <v>6</v>
      </c>
      <c r="H1" s="18" t="s">
        <v>7</v>
      </c>
      <c r="I1" s="18" t="s">
        <v>8</v>
      </c>
      <c r="J1" s="18" t="s">
        <v>9</v>
      </c>
      <c r="K1" s="18" t="s">
        <v>10</v>
      </c>
      <c r="L1" s="19" t="s">
        <v>11</v>
      </c>
      <c r="M1" s="18" t="s">
        <v>12</v>
      </c>
      <c r="N1" s="18" t="s">
        <v>13</v>
      </c>
      <c r="O1" s="20" t="s">
        <v>14</v>
      </c>
      <c r="P1" s="19" t="s">
        <v>15</v>
      </c>
      <c r="Q1" s="21" t="s">
        <v>16</v>
      </c>
      <c r="R1" s="21" t="s">
        <v>17</v>
      </c>
      <c r="S1" s="22" t="s">
        <v>18</v>
      </c>
      <c r="T1" s="22" t="s">
        <v>19</v>
      </c>
      <c r="U1" s="23" t="s">
        <v>20</v>
      </c>
      <c r="V1" s="24" t="s">
        <v>21</v>
      </c>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row>
    <row r="2" s="2" customFormat="1" ht="25" customHeight="1" spans="1:143">
      <c r="A2" s="26">
        <v>186</v>
      </c>
      <c r="B2" s="27" t="s">
        <v>22</v>
      </c>
      <c r="C2" s="27" t="s">
        <v>23</v>
      </c>
      <c r="D2" s="27" t="s">
        <v>24</v>
      </c>
      <c r="E2" s="27" t="s">
        <v>25</v>
      </c>
      <c r="F2" s="27" t="s">
        <v>26</v>
      </c>
      <c r="G2" s="28">
        <v>46028</v>
      </c>
      <c r="H2" s="28">
        <v>46055</v>
      </c>
      <c r="I2" s="29">
        <v>46055</v>
      </c>
      <c r="J2" s="26">
        <v>1</v>
      </c>
      <c r="K2" s="26">
        <v>11</v>
      </c>
      <c r="L2" s="26">
        <v>6</v>
      </c>
      <c r="M2" s="26" t="s">
        <v>27</v>
      </c>
      <c r="N2" s="26" t="s">
        <v>28</v>
      </c>
      <c r="O2" s="26"/>
      <c r="P2" s="30"/>
      <c r="Q2" s="31">
        <v>11</v>
      </c>
      <c r="R2" s="32">
        <v>6</v>
      </c>
      <c r="S2" s="33">
        <v>1</v>
      </c>
      <c r="T2" s="33">
        <v>5</v>
      </c>
      <c r="U2" s="34"/>
      <c r="V2" s="35"/>
    </row>
    <row r="3" s="3" customFormat="1" ht="21" customHeight="1" spans="1:143">
      <c r="A3" s="26">
        <v>191</v>
      </c>
      <c r="B3" s="27" t="s">
        <v>29</v>
      </c>
      <c r="C3" s="36" t="s">
        <v>30</v>
      </c>
      <c r="D3" s="27" t="s">
        <v>31</v>
      </c>
      <c r="E3" s="26" t="s">
        <v>32</v>
      </c>
      <c r="F3" s="27" t="s">
        <v>26</v>
      </c>
      <c r="G3" s="28">
        <v>46030</v>
      </c>
      <c r="H3" s="28">
        <v>46034</v>
      </c>
      <c r="I3" s="28">
        <v>46036</v>
      </c>
      <c r="J3" s="27">
        <v>3</v>
      </c>
      <c r="K3" s="26">
        <v>2</v>
      </c>
      <c r="L3" s="26">
        <v>0</v>
      </c>
      <c r="M3" s="26" t="s">
        <v>33</v>
      </c>
      <c r="N3" s="26"/>
      <c r="O3" s="26">
        <v>0</v>
      </c>
      <c r="P3" s="30">
        <v>0</v>
      </c>
      <c r="Q3" s="31">
        <v>2</v>
      </c>
      <c r="R3" s="32">
        <v>0</v>
      </c>
      <c r="S3" s="37"/>
      <c r="T3" s="37"/>
      <c r="U3" s="37"/>
      <c r="V3" s="37"/>
    </row>
    <row r="4" s="4" customFormat="1" ht="41.25" customHeight="1" spans="1:143">
      <c r="A4" s="26">
        <v>192</v>
      </c>
      <c r="B4" s="27" t="s">
        <v>22</v>
      </c>
      <c r="C4" s="38" t="s">
        <v>34</v>
      </c>
      <c r="D4" s="27" t="s">
        <v>35</v>
      </c>
      <c r="E4" s="26" t="s">
        <v>36</v>
      </c>
      <c r="F4" s="26" t="s">
        <v>37</v>
      </c>
      <c r="G4" s="28">
        <v>46037</v>
      </c>
      <c r="H4" s="29" t="s">
        <v>38</v>
      </c>
      <c r="I4" s="26" t="s">
        <v>38</v>
      </c>
      <c r="J4" s="26" t="s">
        <v>38</v>
      </c>
      <c r="K4" s="26" t="s">
        <v>38</v>
      </c>
      <c r="L4" s="26" t="s">
        <v>38</v>
      </c>
      <c r="M4" s="26" t="s">
        <v>39</v>
      </c>
      <c r="N4" s="39" t="s">
        <v>40</v>
      </c>
      <c r="O4" s="31">
        <v>5</v>
      </c>
      <c r="P4" s="26">
        <v>0</v>
      </c>
      <c r="Q4" s="31">
        <v>5</v>
      </c>
      <c r="R4" s="40">
        <v>0</v>
      </c>
      <c r="S4" s="37"/>
      <c r="T4" s="37"/>
      <c r="U4" s="37"/>
      <c r="V4" s="41"/>
    </row>
    <row r="5" s="5" customFormat="1" ht="39" customHeight="1" spans="1:143">
      <c r="A5" s="33">
        <v>193</v>
      </c>
      <c r="B5" s="42" t="s">
        <v>22</v>
      </c>
      <c r="C5" s="43" t="s">
        <v>41</v>
      </c>
      <c r="D5" s="42" t="s">
        <v>35</v>
      </c>
      <c r="E5" s="33" t="s">
        <v>36</v>
      </c>
      <c r="F5" s="33" t="s">
        <v>37</v>
      </c>
      <c r="G5" s="44">
        <v>46037</v>
      </c>
      <c r="H5" s="45">
        <v>46041</v>
      </c>
      <c r="I5" s="45">
        <v>46042</v>
      </c>
      <c r="J5" s="33">
        <v>2</v>
      </c>
      <c r="K5" s="33">
        <v>12</v>
      </c>
      <c r="L5" s="33">
        <v>2</v>
      </c>
      <c r="M5" s="33" t="s">
        <v>42</v>
      </c>
      <c r="N5" s="34" t="s">
        <v>43</v>
      </c>
      <c r="O5" s="31">
        <v>7</v>
      </c>
      <c r="P5" s="33">
        <v>0</v>
      </c>
      <c r="Q5" s="31">
        <v>19</v>
      </c>
      <c r="R5" s="46">
        <v>2</v>
      </c>
      <c r="S5" s="47"/>
      <c r="T5" s="47"/>
      <c r="U5" s="47"/>
      <c r="V5" s="47"/>
    </row>
    <row r="6" s="3" customFormat="1" ht="31" customHeight="1" spans="1:143">
      <c r="A6" s="26">
        <v>194</v>
      </c>
      <c r="B6" s="27" t="s">
        <v>22</v>
      </c>
      <c r="C6" s="27" t="s">
        <v>44</v>
      </c>
      <c r="D6" s="27" t="s">
        <v>35</v>
      </c>
      <c r="E6" s="26" t="s">
        <v>36</v>
      </c>
      <c r="F6" s="26" t="s">
        <v>37</v>
      </c>
      <c r="G6" s="28">
        <v>46035</v>
      </c>
      <c r="H6" s="28">
        <v>46037</v>
      </c>
      <c r="I6" s="28">
        <v>46039</v>
      </c>
      <c r="J6" s="27">
        <v>3</v>
      </c>
      <c r="K6" s="26">
        <v>21</v>
      </c>
      <c r="L6" s="26">
        <v>2</v>
      </c>
      <c r="M6" s="26" t="s">
        <v>45</v>
      </c>
      <c r="N6" s="27" t="s">
        <v>46</v>
      </c>
      <c r="O6" s="31">
        <v>2</v>
      </c>
      <c r="P6" s="30">
        <v>0</v>
      </c>
      <c r="Q6" s="31">
        <v>23</v>
      </c>
      <c r="R6" s="32">
        <v>2</v>
      </c>
      <c r="S6" s="48"/>
      <c r="T6" s="48"/>
      <c r="U6" s="48"/>
      <c r="V6" s="48"/>
    </row>
    <row r="7" s="3" customFormat="1" ht="44" customHeight="1" spans="1:143">
      <c r="A7" s="26">
        <v>195</v>
      </c>
      <c r="B7" s="27" t="s">
        <v>22</v>
      </c>
      <c r="C7" s="27" t="s">
        <v>47</v>
      </c>
      <c r="D7" s="27" t="s">
        <v>48</v>
      </c>
      <c r="E7" s="26" t="s">
        <v>36</v>
      </c>
      <c r="F7" s="26" t="s">
        <v>37</v>
      </c>
      <c r="G7" s="28">
        <v>46038</v>
      </c>
      <c r="H7" s="28">
        <v>46038</v>
      </c>
      <c r="I7" s="28">
        <v>46039</v>
      </c>
      <c r="J7" s="27">
        <v>2</v>
      </c>
      <c r="K7" s="26">
        <v>17</v>
      </c>
      <c r="L7" s="26">
        <v>1</v>
      </c>
      <c r="M7" s="26" t="s">
        <v>49</v>
      </c>
      <c r="N7" s="39" t="s">
        <v>50</v>
      </c>
      <c r="O7" s="31">
        <v>7</v>
      </c>
      <c r="P7" s="30">
        <v>1</v>
      </c>
      <c r="Q7" s="31">
        <v>24</v>
      </c>
      <c r="R7" s="32">
        <v>1</v>
      </c>
      <c r="S7" s="49">
        <v>1</v>
      </c>
      <c r="T7" s="49"/>
      <c r="U7" s="49"/>
      <c r="V7" s="49"/>
    </row>
    <row r="8" s="3" customFormat="1" ht="26.25" customHeight="1" spans="1:143">
      <c r="A8" s="26">
        <v>196</v>
      </c>
      <c r="B8" s="27" t="s">
        <v>22</v>
      </c>
      <c r="C8" s="27" t="s">
        <v>51</v>
      </c>
      <c r="D8" s="27" t="s">
        <v>52</v>
      </c>
      <c r="E8" s="26" t="s">
        <v>53</v>
      </c>
      <c r="F8" s="27" t="s">
        <v>26</v>
      </c>
      <c r="G8" s="28">
        <v>46038</v>
      </c>
      <c r="H8" s="28">
        <v>46038</v>
      </c>
      <c r="I8" s="28">
        <v>46042</v>
      </c>
      <c r="J8" s="27">
        <v>5</v>
      </c>
      <c r="K8" s="26">
        <v>1</v>
      </c>
      <c r="L8" s="26">
        <v>0</v>
      </c>
      <c r="M8" s="27" t="s">
        <v>54</v>
      </c>
      <c r="N8" s="39"/>
      <c r="O8" s="31">
        <v>3</v>
      </c>
      <c r="P8" s="30">
        <v>0</v>
      </c>
      <c r="Q8" s="31">
        <v>4</v>
      </c>
      <c r="R8" s="32">
        <v>0</v>
      </c>
      <c r="S8" s="49"/>
      <c r="T8" s="49"/>
      <c r="U8" s="49"/>
      <c r="V8" s="49"/>
    </row>
    <row r="9" s="3" customFormat="1" ht="27.75" customHeight="1" spans="1:143">
      <c r="A9" s="26">
        <v>197</v>
      </c>
      <c r="B9" s="27" t="s">
        <v>22</v>
      </c>
      <c r="C9" s="27" t="s">
        <v>51</v>
      </c>
      <c r="D9" s="27" t="s">
        <v>55</v>
      </c>
      <c r="E9" s="26" t="s">
        <v>53</v>
      </c>
      <c r="F9" s="27" t="s">
        <v>26</v>
      </c>
      <c r="G9" s="28">
        <v>46042</v>
      </c>
      <c r="H9" s="28">
        <v>46042</v>
      </c>
      <c r="I9" s="28">
        <v>46042</v>
      </c>
      <c r="J9" s="27">
        <v>1</v>
      </c>
      <c r="K9" s="26">
        <v>1</v>
      </c>
      <c r="L9" s="26">
        <v>0</v>
      </c>
      <c r="M9" s="26" t="s">
        <v>56</v>
      </c>
      <c r="N9" s="26"/>
      <c r="O9" s="26">
        <v>5</v>
      </c>
      <c r="P9" s="30">
        <v>0</v>
      </c>
      <c r="Q9" s="31">
        <v>6</v>
      </c>
      <c r="R9" s="32">
        <v>0</v>
      </c>
      <c r="S9" s="49"/>
      <c r="T9" s="49"/>
      <c r="U9" s="49"/>
      <c r="V9" s="49"/>
    </row>
    <row r="10" s="3" customFormat="1" customHeight="1" spans="1:143">
      <c r="A10" s="26">
        <v>198</v>
      </c>
      <c r="B10" s="27" t="s">
        <v>22</v>
      </c>
      <c r="C10" s="27" t="s">
        <v>57</v>
      </c>
      <c r="D10" s="27" t="s">
        <v>48</v>
      </c>
      <c r="E10" s="27" t="s">
        <v>36</v>
      </c>
      <c r="F10" s="27" t="s">
        <v>37</v>
      </c>
      <c r="G10" s="28">
        <v>46042</v>
      </c>
      <c r="H10" s="28">
        <v>46042</v>
      </c>
      <c r="I10" s="28">
        <v>46042</v>
      </c>
      <c r="J10" s="27">
        <v>1</v>
      </c>
      <c r="K10" s="26">
        <v>2</v>
      </c>
      <c r="L10" s="26">
        <v>0</v>
      </c>
      <c r="M10" s="26" t="s">
        <v>58</v>
      </c>
      <c r="N10" s="26"/>
      <c r="O10" s="26">
        <v>8</v>
      </c>
      <c r="P10" s="30">
        <v>0</v>
      </c>
      <c r="Q10" s="31">
        <f>K10+O10</f>
        <v>10</v>
      </c>
      <c r="R10" s="32">
        <f>L10+P10</f>
        <v>0</v>
      </c>
      <c r="S10" s="49"/>
      <c r="T10" s="49"/>
      <c r="U10" s="49"/>
      <c r="V10" s="49"/>
    </row>
    <row r="11" s="3" customFormat="1" ht="36" customHeight="1" spans="1:143">
      <c r="A11" s="26">
        <v>199</v>
      </c>
      <c r="B11" s="27" t="s">
        <v>22</v>
      </c>
      <c r="C11" s="38" t="s">
        <v>59</v>
      </c>
      <c r="D11" s="27" t="s">
        <v>35</v>
      </c>
      <c r="E11" s="26" t="s">
        <v>36</v>
      </c>
      <c r="F11" s="26" t="s">
        <v>37</v>
      </c>
      <c r="G11" s="28">
        <v>46037</v>
      </c>
      <c r="H11" s="29">
        <v>46042</v>
      </c>
      <c r="I11" s="29">
        <v>46042</v>
      </c>
      <c r="J11" s="26">
        <v>1</v>
      </c>
      <c r="K11" s="26"/>
      <c r="L11" s="26"/>
      <c r="M11" s="26" t="s">
        <v>60</v>
      </c>
      <c r="N11" s="50"/>
      <c r="O11" s="26"/>
      <c r="P11" s="26"/>
      <c r="Q11" s="31">
        <f>K11+O11</f>
        <v>0</v>
      </c>
      <c r="R11" s="32">
        <f>L11+P11</f>
        <v>0</v>
      </c>
      <c r="S11" s="49"/>
      <c r="T11" s="49"/>
      <c r="U11" s="49"/>
      <c r="V11" s="49"/>
    </row>
    <row r="12" s="3" customFormat="1" ht="27.75" customHeight="1" spans="1:143">
      <c r="A12" s="26">
        <v>200</v>
      </c>
      <c r="B12" s="27" t="s">
        <v>22</v>
      </c>
      <c r="C12" s="38" t="s">
        <v>61</v>
      </c>
      <c r="D12" s="27" t="s">
        <v>35</v>
      </c>
      <c r="E12" s="26" t="s">
        <v>53</v>
      </c>
      <c r="F12" s="26" t="s">
        <v>37</v>
      </c>
      <c r="G12" s="28">
        <v>46042</v>
      </c>
      <c r="H12" s="28">
        <v>46043</v>
      </c>
      <c r="I12" s="28">
        <v>46044</v>
      </c>
      <c r="J12" s="27">
        <v>2</v>
      </c>
      <c r="K12" s="26">
        <v>8</v>
      </c>
      <c r="L12" s="26">
        <v>0</v>
      </c>
      <c r="M12" s="26" t="s">
        <v>62</v>
      </c>
      <c r="N12" s="26" t="s">
        <v>63</v>
      </c>
      <c r="O12" s="26">
        <v>2</v>
      </c>
      <c r="P12" s="30">
        <v>1</v>
      </c>
      <c r="Q12" s="31">
        <f>K12+O12</f>
        <v>10</v>
      </c>
      <c r="R12" s="32">
        <f>L12+P12</f>
        <v>1</v>
      </c>
      <c r="S12" s="51"/>
      <c r="T12" s="51">
        <v>1</v>
      </c>
      <c r="U12" s="51"/>
      <c r="V12" s="51"/>
    </row>
    <row r="13" s="3" customFormat="1" ht="46" customHeight="1" spans="1:143">
      <c r="A13" s="26">
        <v>201</v>
      </c>
      <c r="B13" s="27" t="s">
        <v>22</v>
      </c>
      <c r="C13" s="36" t="s">
        <v>64</v>
      </c>
      <c r="D13" s="27" t="s">
        <v>65</v>
      </c>
      <c r="E13" s="27" t="s">
        <v>66</v>
      </c>
      <c r="F13" s="27" t="s">
        <v>26</v>
      </c>
      <c r="G13" s="28">
        <v>46045</v>
      </c>
      <c r="H13" s="29">
        <v>46045</v>
      </c>
      <c r="I13" s="29">
        <v>46045</v>
      </c>
      <c r="J13" s="26">
        <v>1</v>
      </c>
      <c r="K13" s="26">
        <v>1</v>
      </c>
      <c r="L13" s="26">
        <v>1</v>
      </c>
      <c r="M13" s="26" t="s">
        <v>67</v>
      </c>
      <c r="N13" s="26" t="s">
        <v>68</v>
      </c>
      <c r="O13" s="26">
        <v>5</v>
      </c>
      <c r="P13" s="30">
        <v>0</v>
      </c>
      <c r="Q13" s="31">
        <v>6</v>
      </c>
      <c r="R13" s="32">
        <v>1</v>
      </c>
      <c r="S13" s="49"/>
      <c r="T13" s="49"/>
      <c r="U13" s="49">
        <v>1</v>
      </c>
      <c r="V13" s="49"/>
    </row>
    <row r="14" s="3" customFormat="1" ht="40" customHeight="1" spans="1:143">
      <c r="A14" s="26">
        <v>202</v>
      </c>
      <c r="B14" s="27" t="s">
        <v>22</v>
      </c>
      <c r="C14" s="26" t="s">
        <v>69</v>
      </c>
      <c r="D14" s="27" t="s">
        <v>70</v>
      </c>
      <c r="E14" s="27" t="s">
        <v>66</v>
      </c>
      <c r="F14" s="26" t="s">
        <v>37</v>
      </c>
      <c r="G14" s="28">
        <v>46045</v>
      </c>
      <c r="H14" s="29">
        <v>46045</v>
      </c>
      <c r="I14" s="29">
        <v>46049</v>
      </c>
      <c r="J14" s="26">
        <v>5</v>
      </c>
      <c r="K14" s="26">
        <v>6</v>
      </c>
      <c r="L14" s="30">
        <v>1</v>
      </c>
      <c r="M14" s="26" t="s">
        <v>71</v>
      </c>
      <c r="N14" s="39" t="s">
        <v>72</v>
      </c>
      <c r="O14" s="26">
        <v>1</v>
      </c>
      <c r="P14" s="30">
        <v>0</v>
      </c>
      <c r="Q14" s="31">
        <f>K14+O14</f>
        <v>7</v>
      </c>
      <c r="R14" s="32">
        <f>L14+P14</f>
        <v>1</v>
      </c>
      <c r="S14" s="49">
        <v>1</v>
      </c>
      <c r="T14" s="49"/>
      <c r="U14" s="49"/>
      <c r="V14" s="49"/>
    </row>
    <row r="15" s="3" customFormat="1" ht="41" customHeight="1" spans="1:143">
      <c r="A15" s="27">
        <v>203</v>
      </c>
      <c r="B15" s="27" t="s">
        <v>22</v>
      </c>
      <c r="C15" s="27" t="s">
        <v>34</v>
      </c>
      <c r="D15" s="27" t="s">
        <v>48</v>
      </c>
      <c r="E15" s="27" t="s">
        <v>36</v>
      </c>
      <c r="F15" s="27" t="s">
        <v>37</v>
      </c>
      <c r="G15" s="28">
        <v>46049</v>
      </c>
      <c r="H15" s="28">
        <v>46049</v>
      </c>
      <c r="I15" s="28">
        <v>46050</v>
      </c>
      <c r="J15" s="27">
        <v>2</v>
      </c>
      <c r="K15" s="27">
        <v>16</v>
      </c>
      <c r="L15" s="27">
        <v>12</v>
      </c>
      <c r="M15" s="27" t="s">
        <v>73</v>
      </c>
      <c r="N15" s="52" t="s">
        <v>74</v>
      </c>
      <c r="O15" s="27">
        <v>6</v>
      </c>
      <c r="P15" s="27">
        <v>0</v>
      </c>
      <c r="Q15" s="31">
        <f>K15+O15</f>
        <v>22</v>
      </c>
      <c r="R15" s="32">
        <f>L15+P15</f>
        <v>12</v>
      </c>
      <c r="S15" s="49">
        <v>9</v>
      </c>
      <c r="T15" s="49">
        <v>3</v>
      </c>
      <c r="U15" s="49"/>
      <c r="V15" s="49"/>
    </row>
    <row r="16" s="3" customFormat="1" ht="23" customHeight="1" spans="1:143">
      <c r="A16" s="27">
        <v>204</v>
      </c>
      <c r="B16" s="27" t="s">
        <v>22</v>
      </c>
      <c r="C16" s="26" t="s">
        <v>69</v>
      </c>
      <c r="D16" s="27" t="s">
        <v>70</v>
      </c>
      <c r="E16" s="27" t="s">
        <v>66</v>
      </c>
      <c r="F16" s="26" t="s">
        <v>37</v>
      </c>
      <c r="G16" s="28">
        <v>46050</v>
      </c>
      <c r="H16" s="28">
        <v>46050</v>
      </c>
      <c r="I16" s="28">
        <v>46050</v>
      </c>
      <c r="J16" s="27">
        <v>1</v>
      </c>
      <c r="K16" s="27">
        <v>1</v>
      </c>
      <c r="L16" s="27">
        <v>0</v>
      </c>
      <c r="M16" s="27" t="s">
        <v>75</v>
      </c>
      <c r="N16" s="27" t="s">
        <v>76</v>
      </c>
      <c r="O16" s="27">
        <v>8</v>
      </c>
      <c r="P16" s="27">
        <v>3</v>
      </c>
      <c r="Q16" s="31">
        <f>K16+O16</f>
        <v>9</v>
      </c>
      <c r="R16" s="32">
        <f>L16+P16</f>
        <v>3</v>
      </c>
      <c r="S16" s="49">
        <v>1</v>
      </c>
      <c r="T16" s="49">
        <v>1</v>
      </c>
      <c r="U16" s="49"/>
      <c r="V16" s="49">
        <v>1</v>
      </c>
    </row>
    <row r="17" s="3" customFormat="1" ht="28" customHeight="1" spans="1:143">
      <c r="A17" s="27">
        <v>205</v>
      </c>
      <c r="B17" s="27" t="s">
        <v>77</v>
      </c>
      <c r="C17" s="27" t="s">
        <v>69</v>
      </c>
      <c r="D17" s="27" t="s">
        <v>78</v>
      </c>
      <c r="E17" s="27" t="s">
        <v>66</v>
      </c>
      <c r="F17" s="27" t="s">
        <v>38</v>
      </c>
      <c r="G17" s="28">
        <v>46050</v>
      </c>
      <c r="H17" s="27" t="s">
        <v>38</v>
      </c>
      <c r="I17" s="27" t="s">
        <v>38</v>
      </c>
      <c r="J17" s="27" t="s">
        <v>38</v>
      </c>
      <c r="K17" s="27" t="s">
        <v>38</v>
      </c>
      <c r="L17" s="27" t="s">
        <v>38</v>
      </c>
      <c r="M17" s="27" t="s">
        <v>79</v>
      </c>
      <c r="N17" s="27" t="s">
        <v>80</v>
      </c>
      <c r="O17" s="27"/>
      <c r="P17" s="27"/>
      <c r="Q17" s="49"/>
      <c r="R17" s="49"/>
      <c r="S17" s="49"/>
      <c r="T17" s="49"/>
      <c r="U17" s="49"/>
      <c r="V17" s="49"/>
    </row>
    <row r="18" s="3" customFormat="1" ht="19" customHeight="1" spans="1:143">
      <c r="A18" s="27">
        <v>206</v>
      </c>
      <c r="B18" s="27" t="s">
        <v>22</v>
      </c>
      <c r="C18" s="27" t="s">
        <v>81</v>
      </c>
      <c r="D18" s="27" t="s">
        <v>24</v>
      </c>
      <c r="E18" s="27" t="s">
        <v>36</v>
      </c>
      <c r="F18" s="27" t="s">
        <v>82</v>
      </c>
      <c r="G18" s="28">
        <v>46052</v>
      </c>
      <c r="H18" s="28">
        <v>46052</v>
      </c>
      <c r="I18" s="28">
        <v>46052</v>
      </c>
      <c r="J18" s="27">
        <v>1</v>
      </c>
      <c r="K18" s="27">
        <v>11</v>
      </c>
      <c r="L18" s="27">
        <v>0</v>
      </c>
      <c r="M18" s="27" t="s">
        <v>83</v>
      </c>
      <c r="N18" s="27"/>
      <c r="O18" s="27">
        <v>0</v>
      </c>
      <c r="P18" s="27">
        <v>0</v>
      </c>
      <c r="Q18" s="31">
        <f t="shared" ref="Q18:Q47" si="0">K18+O18</f>
        <v>11</v>
      </c>
      <c r="R18" s="32">
        <f t="shared" ref="R18:R71" si="1">L18+P18</f>
        <v>0</v>
      </c>
      <c r="S18" s="53"/>
      <c r="T18" s="49"/>
      <c r="U18" s="49"/>
      <c r="V18" s="49"/>
    </row>
    <row r="19" s="3" customFormat="1" ht="24" customHeight="1" spans="1:143">
      <c r="A19" s="27">
        <v>207</v>
      </c>
      <c r="B19" s="27" t="s">
        <v>22</v>
      </c>
      <c r="C19" s="27" t="s">
        <v>81</v>
      </c>
      <c r="D19" s="27" t="s">
        <v>35</v>
      </c>
      <c r="E19" s="27" t="s">
        <v>36</v>
      </c>
      <c r="F19" s="27" t="s">
        <v>37</v>
      </c>
      <c r="G19" s="28">
        <v>46052</v>
      </c>
      <c r="H19" s="28">
        <v>46055</v>
      </c>
      <c r="I19" s="28">
        <v>46055</v>
      </c>
      <c r="J19" s="27">
        <v>1</v>
      </c>
      <c r="K19" s="27">
        <v>10</v>
      </c>
      <c r="L19" s="27">
        <v>0</v>
      </c>
      <c r="M19" s="27" t="s">
        <v>84</v>
      </c>
      <c r="N19" s="27"/>
      <c r="O19" s="27">
        <v>22</v>
      </c>
      <c r="P19" s="27">
        <v>0</v>
      </c>
      <c r="Q19" s="31">
        <f t="shared" si="0"/>
        <v>32</v>
      </c>
      <c r="R19" s="32">
        <f t="shared" si="1"/>
        <v>0</v>
      </c>
      <c r="S19" s="49"/>
      <c r="T19" s="54"/>
      <c r="U19" s="49"/>
      <c r="V19" s="49"/>
    </row>
    <row r="20" ht="24" customHeight="1" spans="1:143">
      <c r="A20" s="27">
        <v>208</v>
      </c>
      <c r="B20" s="27" t="s">
        <v>22</v>
      </c>
      <c r="C20" s="27" t="s">
        <v>23</v>
      </c>
      <c r="D20" s="27" t="s">
        <v>35</v>
      </c>
      <c r="E20" s="27" t="s">
        <v>25</v>
      </c>
      <c r="F20" s="27" t="s">
        <v>26</v>
      </c>
      <c r="G20" s="28">
        <v>46056</v>
      </c>
      <c r="H20" s="28">
        <v>46057</v>
      </c>
      <c r="I20" s="28">
        <v>46058</v>
      </c>
      <c r="J20" s="27">
        <v>2</v>
      </c>
      <c r="K20" s="27">
        <v>18</v>
      </c>
      <c r="L20" s="27">
        <v>0</v>
      </c>
      <c r="M20" s="27" t="s">
        <v>85</v>
      </c>
      <c r="N20" s="27" t="s">
        <v>86</v>
      </c>
      <c r="O20" s="27">
        <v>17</v>
      </c>
      <c r="P20" s="27">
        <v>4</v>
      </c>
      <c r="Q20" s="55">
        <f t="shared" si="0"/>
        <v>35</v>
      </c>
      <c r="R20" s="56">
        <f t="shared" si="1"/>
        <v>4</v>
      </c>
      <c r="S20" s="57"/>
      <c r="T20" s="58">
        <v>2</v>
      </c>
      <c r="U20" s="59">
        <v>2</v>
      </c>
      <c r="V20" s="57"/>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row>
    <row r="21" ht="30" customHeight="1" spans="1:143">
      <c r="A21" s="27">
        <v>209</v>
      </c>
      <c r="B21" s="27" t="s">
        <v>22</v>
      </c>
      <c r="C21" s="27" t="s">
        <v>44</v>
      </c>
      <c r="D21" s="27" t="s">
        <v>48</v>
      </c>
      <c r="E21" s="60" t="s">
        <v>36</v>
      </c>
      <c r="F21" s="60" t="s">
        <v>37</v>
      </c>
      <c r="G21" s="28">
        <v>46056</v>
      </c>
      <c r="H21" s="28">
        <v>46056</v>
      </c>
      <c r="I21" s="28">
        <v>46057</v>
      </c>
      <c r="J21" s="27">
        <v>2</v>
      </c>
      <c r="K21" s="27">
        <v>1</v>
      </c>
      <c r="L21" s="27">
        <v>0</v>
      </c>
      <c r="M21" s="27" t="s">
        <v>87</v>
      </c>
      <c r="N21" s="27"/>
      <c r="O21" s="27">
        <v>24</v>
      </c>
      <c r="P21" s="27">
        <v>0</v>
      </c>
      <c r="Q21" s="55">
        <f t="shared" si="0"/>
        <v>25</v>
      </c>
      <c r="R21" s="56">
        <f t="shared" si="1"/>
        <v>0</v>
      </c>
      <c r="S21" s="57"/>
      <c r="T21" s="61"/>
      <c r="U21" s="57"/>
      <c r="V21" s="57"/>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row>
    <row r="22" ht="40" customHeight="1" spans="1:143">
      <c r="A22" s="27">
        <v>210</v>
      </c>
      <c r="B22" s="27" t="s">
        <v>22</v>
      </c>
      <c r="C22" s="27" t="s">
        <v>61</v>
      </c>
      <c r="D22" s="27" t="s">
        <v>48</v>
      </c>
      <c r="E22" s="27" t="s">
        <v>53</v>
      </c>
      <c r="F22" s="27" t="s">
        <v>82</v>
      </c>
      <c r="G22" s="28">
        <v>46057</v>
      </c>
      <c r="H22" s="28">
        <v>46057</v>
      </c>
      <c r="I22" s="28">
        <v>46057</v>
      </c>
      <c r="J22" s="27">
        <v>1</v>
      </c>
      <c r="K22" s="27">
        <v>1</v>
      </c>
      <c r="L22" s="27">
        <v>0</v>
      </c>
      <c r="M22" s="27" t="s">
        <v>88</v>
      </c>
      <c r="N22" s="27"/>
      <c r="O22" s="27">
        <v>8</v>
      </c>
      <c r="P22" s="27">
        <v>0</v>
      </c>
      <c r="Q22" s="55">
        <f t="shared" si="0"/>
        <v>9</v>
      </c>
      <c r="R22" s="56">
        <f t="shared" si="1"/>
        <v>0</v>
      </c>
      <c r="S22" s="57"/>
      <c r="T22" s="61"/>
      <c r="U22" s="57"/>
      <c r="V22" s="57"/>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row>
    <row r="23" ht="27" customHeight="1" spans="1:143">
      <c r="A23" s="27">
        <v>211</v>
      </c>
      <c r="B23" s="27" t="s">
        <v>77</v>
      </c>
      <c r="C23" s="27" t="s">
        <v>89</v>
      </c>
      <c r="D23" s="27" t="s">
        <v>90</v>
      </c>
      <c r="E23" s="27" t="s">
        <v>91</v>
      </c>
      <c r="F23" s="27" t="s">
        <v>82</v>
      </c>
      <c r="G23" s="28">
        <v>46094</v>
      </c>
      <c r="H23" s="28">
        <v>46097</v>
      </c>
      <c r="I23" s="28">
        <v>46097</v>
      </c>
      <c r="J23" s="27">
        <v>1</v>
      </c>
      <c r="K23" s="27">
        <v>8</v>
      </c>
      <c r="L23" s="27">
        <v>2</v>
      </c>
      <c r="M23" s="27" t="s">
        <v>92</v>
      </c>
      <c r="N23" s="27" t="s">
        <v>93</v>
      </c>
      <c r="O23" s="27"/>
      <c r="P23" s="27"/>
      <c r="Q23" s="55">
        <f t="shared" si="0"/>
        <v>8</v>
      </c>
      <c r="R23" s="56">
        <f t="shared" si="1"/>
        <v>2</v>
      </c>
      <c r="S23" s="57">
        <v>1</v>
      </c>
      <c r="T23" s="61">
        <v>1</v>
      </c>
      <c r="U23" s="57"/>
      <c r="V23" s="57"/>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row>
    <row r="24" customHeight="1" spans="1:143">
      <c r="A24" s="27">
        <v>212</v>
      </c>
      <c r="B24" s="27" t="s">
        <v>77</v>
      </c>
      <c r="C24" s="27" t="s">
        <v>89</v>
      </c>
      <c r="D24" s="27" t="s">
        <v>94</v>
      </c>
      <c r="E24" s="27" t="s">
        <v>91</v>
      </c>
      <c r="F24" s="27" t="s">
        <v>82</v>
      </c>
      <c r="G24" s="28">
        <v>46097</v>
      </c>
      <c r="H24" s="28">
        <v>46097</v>
      </c>
      <c r="I24" s="28">
        <v>46097</v>
      </c>
      <c r="J24" s="27">
        <v>1</v>
      </c>
      <c r="K24" s="27">
        <v>2</v>
      </c>
      <c r="L24" s="27">
        <v>0</v>
      </c>
      <c r="M24" s="27" t="s">
        <v>95</v>
      </c>
      <c r="N24" s="27"/>
      <c r="O24" s="27">
        <v>6</v>
      </c>
      <c r="P24" s="27">
        <v>0</v>
      </c>
      <c r="Q24" s="55">
        <f t="shared" si="0"/>
        <v>8</v>
      </c>
      <c r="R24" s="56">
        <f t="shared" si="1"/>
        <v>0</v>
      </c>
      <c r="S24" s="57"/>
      <c r="T24" s="61"/>
      <c r="U24" s="57"/>
      <c r="V24" s="57"/>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row>
    <row r="25" ht="23" customHeight="1" spans="1:143">
      <c r="A25" s="27">
        <v>213</v>
      </c>
      <c r="B25" s="27" t="s">
        <v>22</v>
      </c>
      <c r="C25" s="27" t="s">
        <v>69</v>
      </c>
      <c r="D25" s="27" t="s">
        <v>70</v>
      </c>
      <c r="E25" s="27" t="s">
        <v>66</v>
      </c>
      <c r="F25" s="27" t="s">
        <v>37</v>
      </c>
      <c r="G25" s="28">
        <v>46100</v>
      </c>
      <c r="H25" s="28">
        <v>46101</v>
      </c>
      <c r="I25" s="28">
        <v>46101</v>
      </c>
      <c r="J25" s="27">
        <v>1</v>
      </c>
      <c r="K25" s="27">
        <v>5</v>
      </c>
      <c r="L25" s="27">
        <v>0</v>
      </c>
      <c r="M25" s="27"/>
      <c r="N25" s="27"/>
      <c r="O25" s="27"/>
      <c r="P25" s="27"/>
      <c r="Q25" s="55">
        <f t="shared" si="0"/>
        <v>5</v>
      </c>
      <c r="R25" s="56">
        <f t="shared" si="1"/>
        <v>0</v>
      </c>
      <c r="S25" s="57"/>
      <c r="T25" s="61"/>
      <c r="U25" s="57"/>
      <c r="V25" s="57"/>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row>
    <row r="26" ht="40" customHeight="1" spans="1:143">
      <c r="A26" s="62">
        <v>214</v>
      </c>
      <c r="B26" s="62" t="s">
        <v>77</v>
      </c>
      <c r="C26" s="62" t="s">
        <v>89</v>
      </c>
      <c r="D26" s="62" t="s">
        <v>96</v>
      </c>
      <c r="E26" s="62" t="s">
        <v>91</v>
      </c>
      <c r="F26" s="62" t="s">
        <v>82</v>
      </c>
      <c r="G26" s="28">
        <v>46105</v>
      </c>
      <c r="H26" s="28">
        <v>46106</v>
      </c>
      <c r="I26" s="28">
        <v>46106</v>
      </c>
      <c r="J26" s="63">
        <v>1</v>
      </c>
      <c r="K26" s="63">
        <v>1</v>
      </c>
      <c r="L26" s="63">
        <v>0</v>
      </c>
      <c r="M26" s="27" t="s">
        <v>97</v>
      </c>
      <c r="N26" s="64"/>
      <c r="O26" s="63">
        <v>7</v>
      </c>
      <c r="P26" s="63">
        <v>0</v>
      </c>
      <c r="Q26" s="65">
        <f t="shared" si="0"/>
        <v>8</v>
      </c>
      <c r="R26" s="65">
        <f t="shared" si="1"/>
        <v>0</v>
      </c>
      <c r="S26" s="13"/>
      <c r="T26" s="13"/>
      <c r="U26" s="13"/>
      <c r="V26" s="13"/>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row>
    <row r="27" ht="46" customHeight="1" spans="1:143">
      <c r="A27" s="62">
        <v>215</v>
      </c>
      <c r="B27" s="62" t="s">
        <v>29</v>
      </c>
      <c r="C27" s="62" t="s">
        <v>98</v>
      </c>
      <c r="D27" s="62" t="s">
        <v>99</v>
      </c>
      <c r="E27" s="62" t="s">
        <v>91</v>
      </c>
      <c r="F27" s="62" t="s">
        <v>26</v>
      </c>
      <c r="G27" s="28">
        <v>46105</v>
      </c>
      <c r="H27" s="28">
        <v>46106</v>
      </c>
      <c r="I27" s="28">
        <v>46106</v>
      </c>
      <c r="J27" s="63">
        <v>1</v>
      </c>
      <c r="K27" s="63">
        <v>2</v>
      </c>
      <c r="L27" s="63">
        <v>3</v>
      </c>
      <c r="M27" s="27" t="s">
        <v>100</v>
      </c>
      <c r="N27" s="64" t="s">
        <v>101</v>
      </c>
      <c r="O27" s="63"/>
      <c r="P27" s="63"/>
      <c r="Q27" s="65">
        <f t="shared" si="0"/>
        <v>2</v>
      </c>
      <c r="R27" s="65">
        <f t="shared" si="1"/>
        <v>3</v>
      </c>
      <c r="S27" s="13">
        <v>2</v>
      </c>
      <c r="T27" s="13"/>
      <c r="U27" s="13"/>
      <c r="V27" s="13">
        <v>1</v>
      </c>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row>
    <row r="28" s="6" customFormat="1" ht="36" customHeight="1" spans="1:143">
      <c r="A28" s="66">
        <v>216</v>
      </c>
      <c r="B28" s="67" t="s">
        <v>77</v>
      </c>
      <c r="C28" s="67" t="s">
        <v>102</v>
      </c>
      <c r="D28" s="67" t="s">
        <v>103</v>
      </c>
      <c r="E28" s="67" t="s">
        <v>91</v>
      </c>
      <c r="F28" s="67" t="s">
        <v>37</v>
      </c>
      <c r="G28" s="68">
        <v>46113</v>
      </c>
      <c r="H28" s="68">
        <v>46113</v>
      </c>
      <c r="I28" s="68">
        <v>46114</v>
      </c>
      <c r="J28" s="67">
        <v>1</v>
      </c>
      <c r="K28" s="67">
        <v>1</v>
      </c>
      <c r="L28" s="67">
        <v>0</v>
      </c>
      <c r="M28" s="67" t="s">
        <v>104</v>
      </c>
      <c r="N28" s="67" t="s">
        <v>105</v>
      </c>
      <c r="O28" s="67">
        <v>31</v>
      </c>
      <c r="P28" s="67">
        <v>1</v>
      </c>
      <c r="Q28" s="65">
        <f t="shared" si="0"/>
        <v>32</v>
      </c>
      <c r="R28" s="65">
        <f t="shared" si="1"/>
        <v>1</v>
      </c>
      <c r="S28" s="69">
        <v>1</v>
      </c>
      <c r="T28" s="69"/>
      <c r="U28" s="69"/>
      <c r="V28" s="69"/>
    </row>
    <row r="29" s="7" customFormat="1" ht="34" customHeight="1" spans="1:143">
      <c r="A29" s="66">
        <v>217</v>
      </c>
      <c r="B29" s="70" t="s">
        <v>29</v>
      </c>
      <c r="C29" s="70" t="s">
        <v>106</v>
      </c>
      <c r="D29" s="70" t="s">
        <v>107</v>
      </c>
      <c r="E29" s="70" t="s">
        <v>108</v>
      </c>
      <c r="F29" s="70" t="s">
        <v>82</v>
      </c>
      <c r="G29" s="68">
        <v>46107</v>
      </c>
      <c r="H29" s="68">
        <v>46108</v>
      </c>
      <c r="I29" s="68">
        <v>46108</v>
      </c>
      <c r="J29" s="70">
        <v>1</v>
      </c>
      <c r="K29" s="70">
        <v>7</v>
      </c>
      <c r="L29" s="70">
        <v>1</v>
      </c>
      <c r="M29" s="70" t="s">
        <v>109</v>
      </c>
      <c r="N29" s="70" t="s">
        <v>110</v>
      </c>
      <c r="O29" s="70"/>
      <c r="P29" s="70"/>
      <c r="Q29" s="65">
        <f t="shared" si="0"/>
        <v>7</v>
      </c>
      <c r="R29" s="65">
        <f t="shared" si="1"/>
        <v>1</v>
      </c>
      <c r="S29" s="71"/>
      <c r="T29" s="71">
        <v>1</v>
      </c>
      <c r="U29" s="71"/>
      <c r="V29" s="71"/>
    </row>
    <row r="30" s="7" customFormat="1" ht="25" customHeight="1" spans="1:143">
      <c r="A30" s="66">
        <v>218</v>
      </c>
      <c r="B30" s="70" t="s">
        <v>29</v>
      </c>
      <c r="C30" s="70" t="s">
        <v>98</v>
      </c>
      <c r="D30" s="70" t="s">
        <v>111</v>
      </c>
      <c r="E30" s="66" t="s">
        <v>91</v>
      </c>
      <c r="F30" s="66" t="s">
        <v>26</v>
      </c>
      <c r="G30" s="68">
        <v>46107</v>
      </c>
      <c r="H30" s="68">
        <v>46107</v>
      </c>
      <c r="I30" s="68">
        <v>46107</v>
      </c>
      <c r="J30" s="70">
        <v>1</v>
      </c>
      <c r="K30" s="70">
        <v>1</v>
      </c>
      <c r="L30" s="70">
        <v>0</v>
      </c>
      <c r="M30" s="70" t="s">
        <v>112</v>
      </c>
      <c r="N30" s="70" t="s">
        <v>113</v>
      </c>
      <c r="O30" s="70">
        <v>4</v>
      </c>
      <c r="P30" s="70">
        <v>1</v>
      </c>
      <c r="Q30" s="65">
        <f t="shared" si="0"/>
        <v>5</v>
      </c>
      <c r="R30" s="65">
        <f t="shared" si="1"/>
        <v>1</v>
      </c>
      <c r="S30" s="71">
        <v>1</v>
      </c>
      <c r="T30" s="71"/>
      <c r="U30" s="71"/>
      <c r="V30" s="71"/>
    </row>
    <row r="31" s="7" customFormat="1" ht="33" customHeight="1" spans="1:143">
      <c r="A31" s="66">
        <v>219</v>
      </c>
      <c r="B31" s="70" t="s">
        <v>29</v>
      </c>
      <c r="C31" s="70" t="s">
        <v>98</v>
      </c>
      <c r="D31" s="70" t="s">
        <v>114</v>
      </c>
      <c r="E31" s="66" t="s">
        <v>91</v>
      </c>
      <c r="F31" s="66" t="s">
        <v>26</v>
      </c>
      <c r="G31" s="68">
        <v>46108</v>
      </c>
      <c r="H31" s="68">
        <v>46113</v>
      </c>
      <c r="I31" s="68">
        <v>46114</v>
      </c>
      <c r="J31" s="70">
        <v>2</v>
      </c>
      <c r="K31" s="70">
        <v>9</v>
      </c>
      <c r="L31" s="70">
        <v>4</v>
      </c>
      <c r="M31" s="70" t="s">
        <v>115</v>
      </c>
      <c r="N31" s="70" t="s">
        <v>116</v>
      </c>
      <c r="O31" s="70"/>
      <c r="P31" s="70"/>
      <c r="Q31" s="65">
        <f t="shared" si="0"/>
        <v>9</v>
      </c>
      <c r="R31" s="65">
        <f t="shared" si="1"/>
        <v>4</v>
      </c>
      <c r="S31" s="71"/>
      <c r="T31" s="71">
        <v>2</v>
      </c>
      <c r="U31" s="71"/>
      <c r="V31" s="71">
        <v>2</v>
      </c>
    </row>
    <row r="32" s="8" customFormat="1" ht="42" customHeight="1" spans="1:143">
      <c r="A32" s="66">
        <v>220</v>
      </c>
      <c r="B32" s="67" t="s">
        <v>77</v>
      </c>
      <c r="C32" s="67" t="s">
        <v>102</v>
      </c>
      <c r="D32" s="67" t="s">
        <v>117</v>
      </c>
      <c r="E32" s="67" t="s">
        <v>91</v>
      </c>
      <c r="F32" s="67" t="s">
        <v>37</v>
      </c>
      <c r="G32" s="28">
        <v>46133</v>
      </c>
      <c r="H32" s="28">
        <v>46133</v>
      </c>
      <c r="I32" s="28">
        <v>46133</v>
      </c>
      <c r="J32" s="63">
        <v>1</v>
      </c>
      <c r="K32" s="63">
        <v>1</v>
      </c>
      <c r="L32" s="63">
        <v>0</v>
      </c>
      <c r="M32" s="63" t="s">
        <v>118</v>
      </c>
      <c r="N32" s="63" t="s">
        <v>119</v>
      </c>
      <c r="O32" s="63">
        <v>2</v>
      </c>
      <c r="P32" s="63">
        <v>2</v>
      </c>
      <c r="Q32" s="65">
        <f t="shared" si="0"/>
        <v>3</v>
      </c>
      <c r="R32" s="65">
        <f t="shared" si="1"/>
        <v>2</v>
      </c>
      <c r="S32" s="13">
        <v>2</v>
      </c>
      <c r="T32" s="13"/>
      <c r="U32" s="13"/>
      <c r="V32" s="13"/>
    </row>
    <row r="33" s="8" customFormat="1" ht="32" customHeight="1" spans="1:144">
      <c r="A33" s="66">
        <v>221</v>
      </c>
      <c r="B33" s="67" t="s">
        <v>77</v>
      </c>
      <c r="C33" s="67" t="s">
        <v>102</v>
      </c>
      <c r="D33" s="67" t="s">
        <v>120</v>
      </c>
      <c r="E33" s="67" t="s">
        <v>91</v>
      </c>
      <c r="F33" s="67" t="s">
        <v>37</v>
      </c>
      <c r="G33" s="28">
        <v>46134</v>
      </c>
      <c r="H33" s="28">
        <v>46134</v>
      </c>
      <c r="I33" s="28">
        <v>46134</v>
      </c>
      <c r="J33" s="63">
        <v>1</v>
      </c>
      <c r="K33" s="63">
        <v>1</v>
      </c>
      <c r="L33" s="63">
        <v>0</v>
      </c>
      <c r="M33" s="63" t="s">
        <v>121</v>
      </c>
      <c r="N33" s="63"/>
      <c r="O33" s="63">
        <v>3</v>
      </c>
      <c r="P33" s="63">
        <v>0</v>
      </c>
      <c r="Q33" s="65">
        <f t="shared" si="0"/>
        <v>4</v>
      </c>
      <c r="R33" s="65">
        <f t="shared" si="1"/>
        <v>0</v>
      </c>
      <c r="S33" s="13"/>
      <c r="T33" s="13"/>
      <c r="U33" s="13"/>
      <c r="V33" s="13"/>
    </row>
    <row r="34" customHeight="1" spans="1:144">
      <c r="A34" s="66">
        <v>222</v>
      </c>
      <c r="B34" s="67" t="s">
        <v>122</v>
      </c>
      <c r="C34" s="67" t="s">
        <v>123</v>
      </c>
      <c r="D34" s="64" t="s">
        <v>124</v>
      </c>
      <c r="E34" s="64" t="s">
        <v>36</v>
      </c>
      <c r="F34" s="64" t="s">
        <v>82</v>
      </c>
      <c r="G34" s="28">
        <v>46139</v>
      </c>
      <c r="H34" s="28">
        <v>46139</v>
      </c>
      <c r="I34" s="28">
        <v>46140</v>
      </c>
      <c r="J34" s="63">
        <v>1</v>
      </c>
      <c r="K34" s="63">
        <v>13</v>
      </c>
      <c r="L34" s="63">
        <v>0</v>
      </c>
      <c r="M34" s="63" t="s">
        <v>125</v>
      </c>
      <c r="N34" s="63"/>
      <c r="O34" s="63"/>
      <c r="P34" s="63"/>
      <c r="Q34" s="65">
        <f t="shared" si="0"/>
        <v>13</v>
      </c>
      <c r="R34" s="65">
        <f t="shared" si="1"/>
        <v>0</v>
      </c>
      <c r="S34" s="13"/>
      <c r="T34" s="13"/>
      <c r="U34" s="13"/>
      <c r="V34" s="13"/>
    </row>
    <row r="35" customHeight="1" spans="1:144">
      <c r="A35" s="66">
        <v>223</v>
      </c>
      <c r="B35" s="67" t="s">
        <v>122</v>
      </c>
      <c r="C35" s="67" t="s">
        <v>126</v>
      </c>
      <c r="D35" s="64" t="s">
        <v>124</v>
      </c>
      <c r="E35" s="64" t="s">
        <v>25</v>
      </c>
      <c r="F35" s="72" t="s">
        <v>37</v>
      </c>
      <c r="G35" s="28">
        <v>46139</v>
      </c>
      <c r="H35" s="28">
        <v>46139</v>
      </c>
      <c r="I35" s="28">
        <v>46140</v>
      </c>
      <c r="J35" s="63">
        <v>1</v>
      </c>
      <c r="K35" s="63">
        <v>11</v>
      </c>
      <c r="L35" s="63">
        <v>1</v>
      </c>
      <c r="M35" s="63" t="s">
        <v>127</v>
      </c>
      <c r="N35" s="63" t="s">
        <v>128</v>
      </c>
      <c r="O35" s="63"/>
      <c r="P35" s="63"/>
      <c r="Q35" s="65">
        <f t="shared" si="0"/>
        <v>11</v>
      </c>
      <c r="R35" s="65">
        <f t="shared" si="1"/>
        <v>1</v>
      </c>
      <c r="S35" s="13">
        <v>1</v>
      </c>
      <c r="T35" s="13"/>
      <c r="U35" s="13"/>
      <c r="V35" s="13"/>
    </row>
    <row r="36" customHeight="1" spans="1:144">
      <c r="A36" s="66">
        <v>224</v>
      </c>
      <c r="B36" s="67" t="s">
        <v>122</v>
      </c>
      <c r="C36" s="67" t="s">
        <v>44</v>
      </c>
      <c r="D36" s="64" t="s">
        <v>124</v>
      </c>
      <c r="E36" s="64" t="s">
        <v>36</v>
      </c>
      <c r="F36" s="64" t="s">
        <v>82</v>
      </c>
      <c r="G36" s="28">
        <v>46139</v>
      </c>
      <c r="H36" s="28">
        <v>46139</v>
      </c>
      <c r="I36" s="28">
        <v>46140</v>
      </c>
      <c r="J36" s="63">
        <v>1</v>
      </c>
      <c r="K36" s="63">
        <v>23</v>
      </c>
      <c r="L36" s="63">
        <v>3</v>
      </c>
      <c r="M36" s="63" t="s">
        <v>129</v>
      </c>
      <c r="N36" s="63" t="s">
        <v>130</v>
      </c>
      <c r="O36" s="63"/>
      <c r="P36" s="63"/>
      <c r="Q36" s="65">
        <f t="shared" si="0"/>
        <v>23</v>
      </c>
      <c r="R36" s="65">
        <f t="shared" si="1"/>
        <v>3</v>
      </c>
      <c r="S36" s="13">
        <v>1</v>
      </c>
      <c r="T36" s="13">
        <v>2</v>
      </c>
      <c r="U36" s="13"/>
      <c r="V36" s="13"/>
    </row>
    <row r="37" customHeight="1" spans="1:144">
      <c r="A37" s="66">
        <v>225</v>
      </c>
      <c r="B37" s="67" t="s">
        <v>122</v>
      </c>
      <c r="C37" s="67" t="s">
        <v>61</v>
      </c>
      <c r="D37" s="64" t="s">
        <v>131</v>
      </c>
      <c r="E37" s="64" t="s">
        <v>108</v>
      </c>
      <c r="F37" s="73" t="s">
        <v>26</v>
      </c>
      <c r="G37" s="74">
        <v>46139</v>
      </c>
      <c r="H37" s="74">
        <v>46139</v>
      </c>
      <c r="I37" s="74">
        <v>46140</v>
      </c>
      <c r="J37" s="63">
        <v>1</v>
      </c>
      <c r="K37" s="63">
        <v>21</v>
      </c>
      <c r="L37" s="63">
        <v>2</v>
      </c>
      <c r="M37" s="63" t="s">
        <v>132</v>
      </c>
      <c r="N37" s="63" t="s">
        <v>133</v>
      </c>
      <c r="O37" s="63"/>
      <c r="P37" s="63"/>
      <c r="Q37" s="65">
        <f t="shared" si="0"/>
        <v>21</v>
      </c>
      <c r="R37" s="65">
        <f t="shared" si="1"/>
        <v>2</v>
      </c>
      <c r="S37" s="13"/>
      <c r="T37" s="13">
        <v>1</v>
      </c>
      <c r="U37" s="13"/>
      <c r="V37" s="13">
        <v>1</v>
      </c>
    </row>
    <row r="38" customHeight="1" spans="1:144">
      <c r="A38" s="66">
        <v>226</v>
      </c>
      <c r="B38" s="67" t="s">
        <v>122</v>
      </c>
      <c r="C38" s="67" t="s">
        <v>134</v>
      </c>
      <c r="D38" s="64" t="s">
        <v>135</v>
      </c>
      <c r="E38" s="64" t="s">
        <v>25</v>
      </c>
      <c r="F38" s="73" t="s">
        <v>26</v>
      </c>
      <c r="G38" s="74">
        <v>46139</v>
      </c>
      <c r="H38" s="74">
        <v>46139</v>
      </c>
      <c r="I38" s="74">
        <v>46140</v>
      </c>
      <c r="J38" s="63">
        <v>1</v>
      </c>
      <c r="K38" s="63">
        <v>18</v>
      </c>
      <c r="L38" s="63">
        <v>6</v>
      </c>
      <c r="M38" s="63" t="s">
        <v>136</v>
      </c>
      <c r="N38" s="63" t="s">
        <v>137</v>
      </c>
      <c r="O38" s="63"/>
      <c r="P38" s="63"/>
      <c r="Q38" s="65">
        <f t="shared" si="0"/>
        <v>18</v>
      </c>
      <c r="R38" s="65">
        <f t="shared" si="1"/>
        <v>6</v>
      </c>
      <c r="S38" s="13">
        <v>3</v>
      </c>
      <c r="T38" s="13">
        <v>3</v>
      </c>
      <c r="U38" s="13"/>
      <c r="V38" s="13"/>
    </row>
    <row r="39" customHeight="1" spans="1:144">
      <c r="A39" s="66">
        <v>227</v>
      </c>
      <c r="B39" s="67" t="s">
        <v>122</v>
      </c>
      <c r="C39" s="67" t="s">
        <v>138</v>
      </c>
      <c r="D39" s="75" t="s">
        <v>131</v>
      </c>
      <c r="E39" s="75" t="s">
        <v>36</v>
      </c>
      <c r="F39" s="73" t="s">
        <v>37</v>
      </c>
      <c r="G39" s="74">
        <v>46139</v>
      </c>
      <c r="H39" s="74">
        <v>46140</v>
      </c>
      <c r="I39" s="74">
        <v>46140</v>
      </c>
      <c r="J39" s="76">
        <v>1</v>
      </c>
      <c r="K39" s="76">
        <v>10</v>
      </c>
      <c r="L39" s="76">
        <v>0</v>
      </c>
      <c r="M39" s="63" t="s">
        <v>139</v>
      </c>
      <c r="N39" s="63"/>
      <c r="O39" s="76"/>
      <c r="P39" s="76"/>
      <c r="Q39" s="77">
        <f t="shared" si="0"/>
        <v>10</v>
      </c>
      <c r="R39" s="77">
        <f t="shared" si="1"/>
        <v>0</v>
      </c>
      <c r="S39" s="78"/>
      <c r="T39" s="78"/>
      <c r="U39" s="78"/>
      <c r="V39" s="13"/>
    </row>
    <row r="40" s="9" customFormat="1" ht="15.6" spans="1:144">
      <c r="A40" s="66">
        <v>228</v>
      </c>
      <c r="B40" s="67" t="s">
        <v>122</v>
      </c>
      <c r="C40" s="67" t="s">
        <v>140</v>
      </c>
      <c r="D40" s="64" t="s">
        <v>131</v>
      </c>
      <c r="E40" s="64" t="s">
        <v>36</v>
      </c>
      <c r="F40" s="73" t="s">
        <v>37</v>
      </c>
      <c r="G40" s="74">
        <v>46139</v>
      </c>
      <c r="H40" s="74">
        <v>46139</v>
      </c>
      <c r="I40" s="74">
        <v>46140</v>
      </c>
      <c r="J40" s="63">
        <v>1</v>
      </c>
      <c r="K40" s="63">
        <v>8</v>
      </c>
      <c r="L40" s="63">
        <v>0</v>
      </c>
      <c r="M40" s="63" t="s">
        <v>141</v>
      </c>
      <c r="N40" s="63"/>
      <c r="O40" s="63"/>
      <c r="P40" s="63"/>
      <c r="Q40" s="65">
        <f t="shared" si="0"/>
        <v>8</v>
      </c>
      <c r="R40" s="65">
        <f t="shared" si="1"/>
        <v>0</v>
      </c>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79"/>
    </row>
    <row r="41" s="9" customFormat="1" customHeight="1" spans="1:144">
      <c r="A41" s="66">
        <v>229</v>
      </c>
      <c r="B41" s="67" t="s">
        <v>122</v>
      </c>
      <c r="C41" s="67" t="s">
        <v>44</v>
      </c>
      <c r="D41" s="64" t="s">
        <v>142</v>
      </c>
      <c r="E41" s="64" t="s">
        <v>36</v>
      </c>
      <c r="F41" s="73" t="s">
        <v>82</v>
      </c>
      <c r="G41" s="74">
        <v>46141</v>
      </c>
      <c r="H41" s="74">
        <v>46141</v>
      </c>
      <c r="I41" s="74">
        <v>46141</v>
      </c>
      <c r="J41" s="63">
        <v>1</v>
      </c>
      <c r="K41" s="63">
        <v>23</v>
      </c>
      <c r="L41" s="63">
        <v>1</v>
      </c>
      <c r="M41" s="63" t="s">
        <v>143</v>
      </c>
      <c r="N41" s="63" t="s">
        <v>144</v>
      </c>
      <c r="O41" s="63"/>
      <c r="P41" s="63"/>
      <c r="Q41" s="65">
        <f t="shared" si="0"/>
        <v>23</v>
      </c>
      <c r="R41" s="65">
        <f t="shared" si="1"/>
        <v>1</v>
      </c>
      <c r="S41" s="13">
        <v>1</v>
      </c>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79"/>
    </row>
    <row r="42" s="9" customFormat="1" customHeight="1" spans="1:144">
      <c r="A42" s="66">
        <v>230</v>
      </c>
      <c r="B42" s="67" t="s">
        <v>122</v>
      </c>
      <c r="C42" s="67" t="s">
        <v>123</v>
      </c>
      <c r="D42" s="64" t="s">
        <v>142</v>
      </c>
      <c r="E42" s="64" t="s">
        <v>36</v>
      </c>
      <c r="F42" s="73" t="s">
        <v>82</v>
      </c>
      <c r="G42" s="74">
        <v>46140</v>
      </c>
      <c r="H42" s="74">
        <v>46141</v>
      </c>
      <c r="I42" s="74">
        <v>46141</v>
      </c>
      <c r="J42" s="63">
        <v>1</v>
      </c>
      <c r="K42" s="63">
        <v>13</v>
      </c>
      <c r="L42" s="63">
        <v>0</v>
      </c>
      <c r="M42" s="63" t="s">
        <v>145</v>
      </c>
      <c r="N42" s="63"/>
      <c r="O42" s="63"/>
      <c r="P42" s="63"/>
      <c r="Q42" s="65">
        <f t="shared" si="0"/>
        <v>13</v>
      </c>
      <c r="R42" s="65">
        <f t="shared" si="1"/>
        <v>0</v>
      </c>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79"/>
    </row>
    <row r="43" s="9" customFormat="1" customHeight="1" spans="1:144">
      <c r="A43" s="66">
        <v>231</v>
      </c>
      <c r="B43" s="67" t="s">
        <v>122</v>
      </c>
      <c r="C43" s="67" t="s">
        <v>134</v>
      </c>
      <c r="D43" s="64" t="s">
        <v>146</v>
      </c>
      <c r="E43" s="64" t="s">
        <v>25</v>
      </c>
      <c r="F43" s="73" t="s">
        <v>26</v>
      </c>
      <c r="G43" s="74">
        <v>46141</v>
      </c>
      <c r="H43" s="74">
        <v>46141</v>
      </c>
      <c r="I43" s="74">
        <v>46142</v>
      </c>
      <c r="J43" s="63">
        <v>1</v>
      </c>
      <c r="K43" s="63">
        <v>8</v>
      </c>
      <c r="L43" s="63">
        <v>2</v>
      </c>
      <c r="M43" s="63" t="s">
        <v>147</v>
      </c>
      <c r="N43" s="63" t="s">
        <v>148</v>
      </c>
      <c r="O43" s="63"/>
      <c r="P43" s="63"/>
      <c r="Q43" s="65">
        <f t="shared" si="0"/>
        <v>8</v>
      </c>
      <c r="R43" s="65">
        <f t="shared" si="1"/>
        <v>2</v>
      </c>
      <c r="S43" s="9">
        <v>1</v>
      </c>
      <c r="U43" s="9">
        <v>1</v>
      </c>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79"/>
    </row>
    <row r="44" s="9" customFormat="1" customHeight="1" spans="1:144">
      <c r="A44" s="66">
        <v>232</v>
      </c>
      <c r="B44" s="67" t="s">
        <v>122</v>
      </c>
      <c r="C44" s="67" t="s">
        <v>149</v>
      </c>
      <c r="D44" s="64" t="s">
        <v>146</v>
      </c>
      <c r="E44" s="64" t="s">
        <v>108</v>
      </c>
      <c r="F44" s="73" t="s">
        <v>26</v>
      </c>
      <c r="G44" s="74">
        <v>46141</v>
      </c>
      <c r="H44" s="74">
        <v>46141</v>
      </c>
      <c r="I44" s="74">
        <v>46142</v>
      </c>
      <c r="J44" s="63">
        <v>1</v>
      </c>
      <c r="K44" s="63">
        <v>8</v>
      </c>
      <c r="L44" s="63">
        <v>0</v>
      </c>
      <c r="M44" s="63" t="s">
        <v>150</v>
      </c>
      <c r="N44" s="63"/>
      <c r="O44" s="63"/>
      <c r="P44" s="63"/>
      <c r="Q44" s="65">
        <f t="shared" si="0"/>
        <v>8</v>
      </c>
      <c r="R44" s="65">
        <f t="shared" si="1"/>
        <v>0</v>
      </c>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79"/>
    </row>
    <row r="45" s="9" customFormat="1" customHeight="1" spans="1:144">
      <c r="A45" s="66">
        <v>233</v>
      </c>
      <c r="B45" s="67" t="s">
        <v>122</v>
      </c>
      <c r="C45" s="67" t="s">
        <v>61</v>
      </c>
      <c r="D45" s="64" t="s">
        <v>146</v>
      </c>
      <c r="E45" s="64" t="s">
        <v>108</v>
      </c>
      <c r="F45" s="73" t="s">
        <v>26</v>
      </c>
      <c r="G45" s="74">
        <v>46141</v>
      </c>
      <c r="H45" s="74">
        <v>46141</v>
      </c>
      <c r="I45" s="74">
        <v>46142</v>
      </c>
      <c r="J45" s="63">
        <v>1</v>
      </c>
      <c r="K45" s="63">
        <v>9</v>
      </c>
      <c r="L45" s="63">
        <v>4</v>
      </c>
      <c r="M45" s="63" t="s">
        <v>151</v>
      </c>
      <c r="N45" s="63" t="s">
        <v>152</v>
      </c>
      <c r="O45" s="63"/>
      <c r="P45" s="63"/>
      <c r="Q45" s="65">
        <f t="shared" si="0"/>
        <v>9</v>
      </c>
      <c r="R45" s="65">
        <f t="shared" si="1"/>
        <v>4</v>
      </c>
      <c r="S45" s="9">
        <v>4</v>
      </c>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79"/>
    </row>
    <row r="46" s="9" customFormat="1" ht="15.6" spans="1:144">
      <c r="A46" s="66">
        <v>234</v>
      </c>
      <c r="B46" s="67" t="s">
        <v>122</v>
      </c>
      <c r="C46" s="67" t="s">
        <v>64</v>
      </c>
      <c r="D46" s="64" t="s">
        <v>153</v>
      </c>
      <c r="E46" s="64" t="s">
        <v>32</v>
      </c>
      <c r="F46" s="73" t="s">
        <v>26</v>
      </c>
      <c r="G46" s="74">
        <v>46141</v>
      </c>
      <c r="H46" s="74">
        <v>46141</v>
      </c>
      <c r="I46" s="74">
        <v>46141</v>
      </c>
      <c r="J46" s="63">
        <v>1</v>
      </c>
      <c r="K46" s="63">
        <v>9</v>
      </c>
      <c r="L46" s="63">
        <v>0</v>
      </c>
      <c r="M46" s="63" t="s">
        <v>154</v>
      </c>
      <c r="N46" s="63"/>
      <c r="O46" s="63"/>
      <c r="P46" s="63"/>
      <c r="Q46" s="65">
        <f t="shared" si="0"/>
        <v>9</v>
      </c>
      <c r="R46" s="65">
        <f t="shared" si="1"/>
        <v>0</v>
      </c>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79"/>
    </row>
    <row r="47" s="9" customFormat="1" ht="15.6" spans="1:144">
      <c r="A47" s="66">
        <v>235</v>
      </c>
      <c r="B47" s="67" t="s">
        <v>122</v>
      </c>
      <c r="C47" s="67" t="s">
        <v>126</v>
      </c>
      <c r="D47" s="64" t="s">
        <v>142</v>
      </c>
      <c r="E47" s="64" t="s">
        <v>36</v>
      </c>
      <c r="F47" s="73" t="s">
        <v>37</v>
      </c>
      <c r="G47" s="74">
        <v>46141</v>
      </c>
      <c r="H47" s="74">
        <v>46141</v>
      </c>
      <c r="I47" s="74">
        <v>46141</v>
      </c>
      <c r="J47" s="63">
        <v>1</v>
      </c>
      <c r="K47" s="63">
        <v>11</v>
      </c>
      <c r="L47" s="63">
        <v>0</v>
      </c>
      <c r="M47" s="63" t="s">
        <v>155</v>
      </c>
      <c r="N47" s="63"/>
      <c r="O47" s="63"/>
      <c r="P47" s="63"/>
      <c r="Q47" s="65">
        <f t="shared" si="0"/>
        <v>11</v>
      </c>
      <c r="R47" s="65">
        <f t="shared" si="1"/>
        <v>0</v>
      </c>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79"/>
    </row>
    <row r="48" s="10" customFormat="1" ht="22" customHeight="1" spans="1:144">
      <c r="A48" s="66">
        <v>236</v>
      </c>
      <c r="B48" s="67" t="s">
        <v>156</v>
      </c>
      <c r="C48" s="67" t="s">
        <v>157</v>
      </c>
      <c r="D48" s="80" t="s">
        <v>146</v>
      </c>
      <c r="E48" s="81" t="s">
        <v>25</v>
      </c>
      <c r="F48" s="73" t="s">
        <v>82</v>
      </c>
      <c r="G48" s="74">
        <v>46141</v>
      </c>
      <c r="H48" s="74">
        <v>46153</v>
      </c>
      <c r="I48" s="74">
        <v>46153</v>
      </c>
      <c r="J48" s="82">
        <v>1</v>
      </c>
      <c r="K48" s="82">
        <v>21</v>
      </c>
      <c r="L48" s="82">
        <v>6</v>
      </c>
      <c r="M48" s="63" t="s">
        <v>147</v>
      </c>
      <c r="N48" s="63" t="s">
        <v>158</v>
      </c>
      <c r="O48" s="82"/>
      <c r="P48" s="82"/>
      <c r="Q48" s="62">
        <v>21</v>
      </c>
      <c r="R48" s="62">
        <f t="shared" si="1"/>
        <v>6</v>
      </c>
      <c r="S48" s="10">
        <v>6</v>
      </c>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84"/>
    </row>
    <row r="49" s="11" customFormat="1" customHeight="1" spans="1:144">
      <c r="A49" s="66">
        <v>237</v>
      </c>
      <c r="B49" s="67" t="s">
        <v>122</v>
      </c>
      <c r="C49" s="67" t="s">
        <v>44</v>
      </c>
      <c r="D49" s="80" t="s">
        <v>146</v>
      </c>
      <c r="E49" s="64" t="s">
        <v>36</v>
      </c>
      <c r="F49" s="73" t="s">
        <v>82</v>
      </c>
      <c r="G49" s="74">
        <v>46148</v>
      </c>
      <c r="H49" s="74">
        <v>46148</v>
      </c>
      <c r="I49" s="74">
        <v>46149</v>
      </c>
      <c r="J49" s="63">
        <v>1.5</v>
      </c>
      <c r="K49" s="82">
        <v>14</v>
      </c>
      <c r="L49" s="82">
        <v>8</v>
      </c>
      <c r="M49" s="63" t="s">
        <v>159</v>
      </c>
      <c r="N49" s="63" t="s">
        <v>160</v>
      </c>
      <c r="O49" s="63"/>
      <c r="P49" s="63"/>
      <c r="Q49" s="65">
        <f t="shared" ref="Q49:Q58" si="2">K49+O49</f>
        <v>14</v>
      </c>
      <c r="R49" s="85">
        <f t="shared" si="1"/>
        <v>8</v>
      </c>
      <c r="S49" s="10">
        <v>1</v>
      </c>
      <c r="T49" s="10"/>
      <c r="U49" s="10">
        <v>2</v>
      </c>
      <c r="V49" s="10">
        <v>5</v>
      </c>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7"/>
    </row>
    <row r="50" s="9" customFormat="1" customHeight="1" spans="1:144">
      <c r="A50" s="66">
        <v>238</v>
      </c>
      <c r="B50" s="67" t="s">
        <v>122</v>
      </c>
      <c r="C50" s="67" t="s">
        <v>123</v>
      </c>
      <c r="D50" s="64" t="s">
        <v>146</v>
      </c>
      <c r="E50" s="64" t="s">
        <v>36</v>
      </c>
      <c r="F50" s="73" t="s">
        <v>82</v>
      </c>
      <c r="G50" s="74">
        <v>46148</v>
      </c>
      <c r="H50" s="74">
        <v>46148</v>
      </c>
      <c r="I50" s="74">
        <v>46149</v>
      </c>
      <c r="J50" s="63">
        <v>1.5</v>
      </c>
      <c r="K50" s="63">
        <v>32</v>
      </c>
      <c r="L50" s="63">
        <v>3</v>
      </c>
      <c r="M50" s="63" t="s">
        <v>161</v>
      </c>
      <c r="N50" s="63" t="s">
        <v>162</v>
      </c>
      <c r="O50" s="63"/>
      <c r="P50" s="63"/>
      <c r="Q50" s="65">
        <f t="shared" si="2"/>
        <v>32</v>
      </c>
      <c r="R50" s="65">
        <f t="shared" si="1"/>
        <v>3</v>
      </c>
      <c r="S50" s="13">
        <v>3</v>
      </c>
      <c r="T50" s="13"/>
      <c r="U50" s="13"/>
      <c r="V50" s="13"/>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79"/>
    </row>
    <row r="51" s="9" customFormat="1" customHeight="1" spans="1:144">
      <c r="A51" s="66">
        <v>239</v>
      </c>
      <c r="B51" s="67" t="s">
        <v>122</v>
      </c>
      <c r="C51" s="67" t="s">
        <v>163</v>
      </c>
      <c r="D51" s="64" t="s">
        <v>146</v>
      </c>
      <c r="E51" s="64" t="s">
        <v>164</v>
      </c>
      <c r="F51" s="73" t="s">
        <v>26</v>
      </c>
      <c r="G51" s="74">
        <v>46148</v>
      </c>
      <c r="H51" s="74">
        <v>46148</v>
      </c>
      <c r="I51" s="74">
        <v>46149</v>
      </c>
      <c r="J51" s="63">
        <v>1.5</v>
      </c>
      <c r="K51" s="63">
        <v>20</v>
      </c>
      <c r="L51" s="63">
        <v>0</v>
      </c>
      <c r="M51" s="63" t="s">
        <v>165</v>
      </c>
      <c r="N51" s="63"/>
      <c r="O51" s="63"/>
      <c r="P51" s="63"/>
      <c r="Q51" s="65">
        <f t="shared" si="2"/>
        <v>20</v>
      </c>
      <c r="R51" s="65">
        <f t="shared" si="1"/>
        <v>0</v>
      </c>
      <c r="S51" s="13"/>
      <c r="T51" s="13"/>
      <c r="U51" s="13"/>
      <c r="V51" s="13"/>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79"/>
    </row>
    <row r="52" s="9" customFormat="1" customHeight="1" spans="1:144">
      <c r="A52" s="66">
        <v>240</v>
      </c>
      <c r="B52" s="67" t="s">
        <v>122</v>
      </c>
      <c r="C52" s="67" t="s">
        <v>166</v>
      </c>
      <c r="D52" s="64" t="s">
        <v>142</v>
      </c>
      <c r="E52" s="64" t="s">
        <v>36</v>
      </c>
      <c r="F52" s="73" t="s">
        <v>37</v>
      </c>
      <c r="G52" s="74">
        <v>46149</v>
      </c>
      <c r="H52" s="74">
        <v>46149</v>
      </c>
      <c r="I52" s="74">
        <v>46149</v>
      </c>
      <c r="J52" s="63">
        <v>1</v>
      </c>
      <c r="K52" s="63">
        <v>10</v>
      </c>
      <c r="L52" s="63">
        <v>5</v>
      </c>
      <c r="M52" s="63" t="s">
        <v>167</v>
      </c>
      <c r="N52" s="63" t="s">
        <v>168</v>
      </c>
      <c r="O52" s="63"/>
      <c r="P52" s="63"/>
      <c r="Q52" s="65">
        <f t="shared" si="2"/>
        <v>10</v>
      </c>
      <c r="R52" s="65">
        <f t="shared" si="1"/>
        <v>5</v>
      </c>
      <c r="S52" s="13">
        <v>5</v>
      </c>
      <c r="T52" s="13"/>
      <c r="U52" s="13"/>
      <c r="V52" s="13"/>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79"/>
    </row>
    <row r="53" s="11" customFormat="1" customHeight="1" spans="1:144">
      <c r="A53" s="66">
        <v>241</v>
      </c>
      <c r="B53" s="67" t="s">
        <v>77</v>
      </c>
      <c r="C53" s="67" t="s">
        <v>169</v>
      </c>
      <c r="D53" s="80" t="s">
        <v>70</v>
      </c>
      <c r="E53" s="81" t="s">
        <v>66</v>
      </c>
      <c r="F53" s="73" t="s">
        <v>26</v>
      </c>
      <c r="G53" s="74">
        <v>46148</v>
      </c>
      <c r="H53" s="74">
        <v>46154</v>
      </c>
      <c r="I53" s="74">
        <v>46154</v>
      </c>
      <c r="J53" s="82">
        <v>1</v>
      </c>
      <c r="K53" s="82">
        <v>9</v>
      </c>
      <c r="L53" s="82">
        <v>4</v>
      </c>
      <c r="M53" s="63" t="s">
        <v>170</v>
      </c>
      <c r="N53" s="63" t="s">
        <v>171</v>
      </c>
      <c r="O53" s="88"/>
      <c r="P53" s="88"/>
      <c r="Q53" s="89">
        <f t="shared" si="2"/>
        <v>9</v>
      </c>
      <c r="R53" s="62">
        <f t="shared" si="1"/>
        <v>4</v>
      </c>
      <c r="S53" s="10"/>
      <c r="T53" s="10"/>
      <c r="U53" s="10"/>
      <c r="V53" s="10"/>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7"/>
    </row>
    <row r="54" s="12" customFormat="1" customHeight="1" spans="1:144">
      <c r="A54" s="66">
        <v>242</v>
      </c>
      <c r="B54" s="67" t="s">
        <v>122</v>
      </c>
      <c r="C54" s="67" t="s">
        <v>172</v>
      </c>
      <c r="D54" s="90" t="s">
        <v>70</v>
      </c>
      <c r="E54" s="90" t="s">
        <v>66</v>
      </c>
      <c r="F54" s="73" t="s">
        <v>37</v>
      </c>
      <c r="G54" s="74">
        <v>46149</v>
      </c>
      <c r="H54" s="74">
        <v>46149</v>
      </c>
      <c r="I54" s="74">
        <v>46149</v>
      </c>
      <c r="J54" s="88">
        <v>1</v>
      </c>
      <c r="K54" s="88">
        <v>53</v>
      </c>
      <c r="L54" s="88">
        <v>8</v>
      </c>
      <c r="M54" s="63"/>
      <c r="N54" s="63" t="s">
        <v>173</v>
      </c>
      <c r="O54" s="88"/>
      <c r="P54" s="88"/>
      <c r="Q54" s="89">
        <f t="shared" si="2"/>
        <v>53</v>
      </c>
      <c r="R54" s="89">
        <f t="shared" si="1"/>
        <v>8</v>
      </c>
      <c r="S54" s="91">
        <v>8</v>
      </c>
      <c r="T54" s="91"/>
      <c r="U54" s="91"/>
      <c r="V54" s="91"/>
      <c r="W54" s="92"/>
      <c r="X54" s="92"/>
      <c r="Y54" s="92"/>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92"/>
      <c r="CE54" s="92"/>
      <c r="CF54" s="92"/>
      <c r="CG54" s="92"/>
      <c r="CH54" s="92"/>
      <c r="CI54" s="92"/>
      <c r="CJ54" s="92"/>
      <c r="CK54" s="92"/>
      <c r="CL54" s="92"/>
      <c r="CM54" s="92"/>
      <c r="CN54" s="92"/>
      <c r="CO54" s="92"/>
      <c r="CP54" s="92"/>
      <c r="CQ54" s="92"/>
      <c r="CR54" s="92"/>
      <c r="CS54" s="92"/>
      <c r="CT54" s="92"/>
      <c r="CU54" s="92"/>
      <c r="CV54" s="92"/>
      <c r="CW54" s="92"/>
      <c r="CX54" s="92"/>
      <c r="CY54" s="92"/>
      <c r="CZ54" s="92"/>
      <c r="DA54" s="92"/>
      <c r="DB54" s="92"/>
      <c r="DC54" s="92"/>
      <c r="DD54" s="92"/>
      <c r="DE54" s="92"/>
      <c r="DF54" s="92"/>
      <c r="DG54" s="92"/>
      <c r="DH54" s="92"/>
      <c r="DI54" s="92"/>
      <c r="DJ54" s="92"/>
      <c r="DK54" s="92"/>
      <c r="DL54" s="92"/>
      <c r="DM54" s="92"/>
      <c r="DN54" s="92"/>
      <c r="DO54" s="92"/>
      <c r="DP54" s="92"/>
      <c r="DQ54" s="92"/>
      <c r="DR54" s="92"/>
      <c r="DS54" s="92"/>
      <c r="DT54" s="92"/>
      <c r="DU54" s="92"/>
      <c r="DV54" s="92"/>
      <c r="DW54" s="92"/>
      <c r="DX54" s="92"/>
      <c r="DY54" s="92"/>
      <c r="DZ54" s="92"/>
      <c r="EA54" s="92"/>
      <c r="EB54" s="92"/>
      <c r="EC54" s="92"/>
      <c r="ED54" s="92"/>
      <c r="EE54" s="92"/>
      <c r="EF54" s="92"/>
      <c r="EG54" s="92"/>
      <c r="EH54" s="92"/>
      <c r="EI54" s="92"/>
      <c r="EJ54" s="92"/>
      <c r="EK54" s="92"/>
      <c r="EL54" s="92"/>
      <c r="EM54" s="92"/>
      <c r="EN54" s="93"/>
    </row>
    <row r="55" s="13" customFormat="1" customHeight="1" spans="1:144">
      <c r="A55" s="66">
        <v>243</v>
      </c>
      <c r="B55" s="67" t="s">
        <v>122</v>
      </c>
      <c r="C55" s="67" t="s">
        <v>166</v>
      </c>
      <c r="D55" s="94" t="s">
        <v>146</v>
      </c>
      <c r="E55" s="94" t="s">
        <v>36</v>
      </c>
      <c r="F55" s="73" t="s">
        <v>37</v>
      </c>
      <c r="G55" s="74">
        <v>46149</v>
      </c>
      <c r="H55" s="74">
        <v>46149</v>
      </c>
      <c r="I55" s="74">
        <v>46149</v>
      </c>
      <c r="J55" s="63">
        <v>1</v>
      </c>
      <c r="K55" s="63">
        <v>1</v>
      </c>
      <c r="L55" s="63">
        <v>2</v>
      </c>
      <c r="M55" s="63" t="s">
        <v>174</v>
      </c>
      <c r="N55" s="63" t="s">
        <v>175</v>
      </c>
      <c r="O55" s="63"/>
      <c r="P55" s="63"/>
      <c r="Q55" s="65">
        <f t="shared" si="2"/>
        <v>1</v>
      </c>
      <c r="R55" s="65">
        <f t="shared" si="1"/>
        <v>2</v>
      </c>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G55" s="95"/>
      <c r="BH55" s="95"/>
      <c r="BI55" s="95"/>
      <c r="BJ55" s="95"/>
      <c r="BK55" s="95"/>
      <c r="BL55" s="95"/>
      <c r="BM55" s="95"/>
      <c r="BN55" s="95"/>
      <c r="BO55" s="95"/>
      <c r="BP55" s="95"/>
      <c r="BQ55" s="95"/>
      <c r="BR55" s="95"/>
      <c r="BS55" s="95"/>
      <c r="BT55" s="95"/>
      <c r="BU55" s="95"/>
      <c r="BV55" s="95"/>
      <c r="BW55" s="95"/>
      <c r="BX55" s="95"/>
      <c r="BY55" s="95"/>
      <c r="BZ55" s="95"/>
      <c r="CA55" s="95"/>
      <c r="CB55" s="95"/>
      <c r="CC55" s="95"/>
      <c r="CD55" s="95"/>
      <c r="CE55" s="95"/>
      <c r="CF55" s="95"/>
      <c r="CG55" s="95"/>
      <c r="CH55" s="95"/>
      <c r="CI55" s="95"/>
      <c r="CJ55" s="95"/>
      <c r="CK55" s="95"/>
      <c r="CL55" s="95"/>
      <c r="CM55" s="95"/>
      <c r="CN55" s="95"/>
      <c r="CO55" s="95"/>
      <c r="CP55" s="95"/>
      <c r="CQ55" s="95"/>
      <c r="CR55" s="95"/>
      <c r="CS55" s="95"/>
      <c r="CT55" s="95"/>
      <c r="CU55" s="95"/>
      <c r="CV55" s="95"/>
      <c r="CW55" s="95"/>
      <c r="CX55" s="95"/>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c r="EC55" s="95"/>
      <c r="ED55" s="95"/>
      <c r="EE55" s="95"/>
      <c r="EF55" s="95"/>
      <c r="EG55" s="95"/>
      <c r="EH55" s="95"/>
      <c r="EI55" s="95"/>
      <c r="EJ55" s="95"/>
      <c r="EK55" s="95"/>
      <c r="EL55" s="95"/>
      <c r="EM55" s="95"/>
      <c r="EN55" s="96"/>
    </row>
    <row r="56" s="13" customFormat="1" customHeight="1" spans="1:144">
      <c r="A56" s="66">
        <v>244</v>
      </c>
      <c r="B56" s="67" t="s">
        <v>122</v>
      </c>
      <c r="C56" s="67" t="s">
        <v>61</v>
      </c>
      <c r="D56" s="94" t="s">
        <v>176</v>
      </c>
      <c r="E56" s="94" t="s">
        <v>108</v>
      </c>
      <c r="F56" s="73" t="s">
        <v>26</v>
      </c>
      <c r="G56" s="74">
        <v>46149</v>
      </c>
      <c r="H56" s="74">
        <v>46149</v>
      </c>
      <c r="I56" s="74">
        <v>46149</v>
      </c>
      <c r="J56" s="63">
        <v>1</v>
      </c>
      <c r="K56" s="63">
        <v>3</v>
      </c>
      <c r="L56" s="63">
        <v>0</v>
      </c>
      <c r="M56" s="63" t="s">
        <v>177</v>
      </c>
      <c r="N56" s="63"/>
      <c r="O56" s="63">
        <v>4</v>
      </c>
      <c r="P56" s="63">
        <v>0</v>
      </c>
      <c r="Q56" s="65">
        <f t="shared" si="2"/>
        <v>7</v>
      </c>
      <c r="R56" s="65">
        <f t="shared" si="1"/>
        <v>0</v>
      </c>
      <c r="W56" s="95"/>
      <c r="X56" s="95"/>
      <c r="Y56" s="95"/>
      <c r="Z56" s="95"/>
      <c r="AA56" s="95"/>
      <c r="AB56" s="95"/>
      <c r="AC56" s="95"/>
      <c r="AD56" s="95"/>
      <c r="AE56" s="95"/>
      <c r="AF56" s="95"/>
      <c r="AG56" s="95"/>
      <c r="AH56" s="95"/>
      <c r="AI56" s="95"/>
      <c r="AJ56" s="95"/>
      <c r="AK56" s="95"/>
      <c r="AL56" s="95"/>
      <c r="AM56" s="95"/>
      <c r="AN56" s="95"/>
      <c r="AO56" s="95"/>
      <c r="AP56" s="95"/>
      <c r="AQ56" s="95"/>
      <c r="AR56" s="95"/>
      <c r="AS56" s="95"/>
      <c r="AT56" s="95"/>
      <c r="AU56" s="95"/>
      <c r="AV56" s="95"/>
      <c r="AW56" s="95"/>
      <c r="AX56" s="95"/>
      <c r="AY56" s="95"/>
      <c r="AZ56" s="95"/>
      <c r="BA56" s="95"/>
      <c r="BB56" s="95"/>
      <c r="BC56" s="95"/>
      <c r="BD56" s="95"/>
      <c r="BE56" s="95"/>
      <c r="BF56" s="95"/>
      <c r="BG56" s="95"/>
      <c r="BH56" s="95"/>
      <c r="BI56" s="95"/>
      <c r="BJ56" s="95"/>
      <c r="BK56" s="95"/>
      <c r="BL56" s="95"/>
      <c r="BM56" s="95"/>
      <c r="BN56" s="95"/>
      <c r="BO56" s="95"/>
      <c r="BP56" s="95"/>
      <c r="BQ56" s="95"/>
      <c r="BR56" s="95"/>
      <c r="BS56" s="95"/>
      <c r="BT56" s="95"/>
      <c r="BU56" s="95"/>
      <c r="BV56" s="95"/>
      <c r="BW56" s="95"/>
      <c r="BX56" s="95"/>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c r="EC56" s="95"/>
      <c r="ED56" s="95"/>
      <c r="EE56" s="95"/>
      <c r="EF56" s="95"/>
      <c r="EG56" s="95"/>
      <c r="EH56" s="95"/>
      <c r="EI56" s="95"/>
      <c r="EJ56" s="95"/>
      <c r="EK56" s="95"/>
      <c r="EL56" s="95"/>
      <c r="EM56" s="95"/>
      <c r="EN56" s="96"/>
    </row>
    <row r="57" s="14" customFormat="1" customHeight="1" spans="1:144">
      <c r="A57" s="66">
        <v>245</v>
      </c>
      <c r="B57" s="67" t="s">
        <v>156</v>
      </c>
      <c r="C57" s="67" t="s">
        <v>157</v>
      </c>
      <c r="D57" s="81" t="s">
        <v>176</v>
      </c>
      <c r="E57" s="81" t="s">
        <v>25</v>
      </c>
      <c r="F57" s="73" t="s">
        <v>82</v>
      </c>
      <c r="G57" s="74">
        <v>46153</v>
      </c>
      <c r="H57" s="74">
        <v>46154</v>
      </c>
      <c r="I57" s="74">
        <v>46154</v>
      </c>
      <c r="J57" s="88">
        <v>1</v>
      </c>
      <c r="K57" s="88">
        <v>5</v>
      </c>
      <c r="L57" s="88">
        <v>0</v>
      </c>
      <c r="M57" s="63" t="s">
        <v>178</v>
      </c>
      <c r="N57" s="63" t="s">
        <v>179</v>
      </c>
      <c r="O57" s="88">
        <v>21</v>
      </c>
      <c r="P57" s="88">
        <v>5</v>
      </c>
      <c r="Q57" s="89">
        <f t="shared" si="2"/>
        <v>26</v>
      </c>
      <c r="R57" s="89">
        <f t="shared" si="1"/>
        <v>5</v>
      </c>
      <c r="S57" s="91">
        <v>2</v>
      </c>
      <c r="T57" s="91">
        <v>3</v>
      </c>
      <c r="U57" s="91"/>
      <c r="V57" s="91"/>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c r="DB57" s="97"/>
      <c r="DC57" s="97"/>
      <c r="DD57" s="97"/>
      <c r="DE57" s="97"/>
      <c r="DF57" s="97"/>
      <c r="DG57" s="97"/>
      <c r="DH57" s="97"/>
      <c r="DI57" s="97"/>
      <c r="DJ57" s="97"/>
      <c r="DK57" s="97"/>
      <c r="DL57" s="97"/>
      <c r="DM57" s="97"/>
      <c r="DN57" s="97"/>
      <c r="DO57" s="97"/>
      <c r="DP57" s="97"/>
      <c r="DQ57" s="97"/>
      <c r="DR57" s="97"/>
      <c r="DS57" s="97"/>
      <c r="DT57" s="97"/>
      <c r="DU57" s="97"/>
      <c r="DV57" s="97"/>
      <c r="DW57" s="97"/>
      <c r="DX57" s="97"/>
      <c r="DY57" s="97"/>
      <c r="DZ57" s="97"/>
      <c r="EA57" s="97"/>
      <c r="EB57" s="97"/>
      <c r="EC57" s="97"/>
      <c r="ED57" s="97"/>
      <c r="EE57" s="97"/>
      <c r="EF57" s="97"/>
      <c r="EG57" s="97"/>
      <c r="EH57" s="97"/>
      <c r="EI57" s="97"/>
      <c r="EJ57" s="97"/>
      <c r="EK57" s="97"/>
      <c r="EL57" s="97"/>
      <c r="EM57" s="97"/>
    </row>
    <row r="58" s="8" customFormat="1" customHeight="1" spans="1:144">
      <c r="A58" s="66">
        <v>246</v>
      </c>
      <c r="B58" s="67" t="s">
        <v>77</v>
      </c>
      <c r="C58" s="67" t="s">
        <v>102</v>
      </c>
      <c r="D58" s="94" t="s">
        <v>180</v>
      </c>
      <c r="E58" s="94" t="s">
        <v>91</v>
      </c>
      <c r="F58" s="73" t="s">
        <v>26</v>
      </c>
      <c r="G58" s="74">
        <v>46156</v>
      </c>
      <c r="H58" s="74">
        <v>46156</v>
      </c>
      <c r="I58" s="74">
        <v>46156</v>
      </c>
      <c r="J58" s="63">
        <v>1</v>
      </c>
      <c r="K58" s="63">
        <v>7</v>
      </c>
      <c r="L58" s="63">
        <v>0</v>
      </c>
      <c r="M58" s="63" t="s">
        <v>181</v>
      </c>
      <c r="N58" s="63"/>
      <c r="O58" s="63"/>
      <c r="P58" s="63"/>
      <c r="Q58" s="65">
        <f t="shared" si="2"/>
        <v>7</v>
      </c>
      <c r="R58" s="65">
        <f t="shared" si="1"/>
        <v>0</v>
      </c>
      <c r="S58" s="13"/>
      <c r="T58" s="13"/>
      <c r="U58" s="13"/>
      <c r="V58" s="13"/>
      <c r="W58" s="95"/>
      <c r="X58" s="95"/>
      <c r="Y58" s="95"/>
      <c r="Z58" s="95"/>
      <c r="AA58" s="95"/>
      <c r="AB58" s="95"/>
      <c r="AC58" s="95"/>
      <c r="AD58" s="95"/>
      <c r="AE58" s="95"/>
      <c r="AF58" s="95"/>
      <c r="AG58" s="95"/>
      <c r="AH58" s="95"/>
      <c r="AI58" s="95"/>
      <c r="AJ58" s="95"/>
      <c r="AK58" s="95"/>
      <c r="AL58" s="95"/>
      <c r="AM58" s="95"/>
      <c r="AN58" s="95"/>
      <c r="AO58" s="95"/>
      <c r="AP58" s="95"/>
      <c r="AQ58" s="95"/>
      <c r="AR58" s="95"/>
      <c r="AS58" s="95"/>
      <c r="AT58" s="95"/>
      <c r="AU58" s="95"/>
      <c r="AV58" s="95"/>
      <c r="AW58" s="95"/>
      <c r="AX58" s="95"/>
      <c r="AY58" s="95"/>
      <c r="AZ58" s="95"/>
      <c r="BA58" s="95"/>
      <c r="BB58" s="95"/>
      <c r="BC58" s="95"/>
      <c r="BD58" s="95"/>
      <c r="BE58" s="95"/>
      <c r="BF58" s="95"/>
      <c r="BG58" s="95"/>
      <c r="BH58" s="95"/>
      <c r="BI58" s="95"/>
      <c r="BJ58" s="95"/>
      <c r="BK58" s="95"/>
      <c r="BL58" s="95"/>
      <c r="BM58" s="95"/>
      <c r="BN58" s="95"/>
      <c r="BO58" s="95"/>
      <c r="BP58" s="95"/>
      <c r="BQ58" s="95"/>
      <c r="BR58" s="95"/>
      <c r="BS58" s="95"/>
      <c r="BT58" s="95"/>
      <c r="BU58" s="95"/>
      <c r="BV58" s="95"/>
      <c r="BW58" s="95"/>
      <c r="BX58" s="95"/>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c r="EM58" s="95"/>
    </row>
    <row r="59" s="4" customFormat="1" customHeight="1" spans="1:144">
      <c r="A59" s="62">
        <v>247</v>
      </c>
      <c r="B59" s="98" t="s">
        <v>122</v>
      </c>
      <c r="C59" s="98" t="s">
        <v>61</v>
      </c>
      <c r="D59" s="80" t="s">
        <v>182</v>
      </c>
      <c r="E59" s="80" t="s">
        <v>108</v>
      </c>
      <c r="F59" s="80" t="s">
        <v>37</v>
      </c>
      <c r="G59" s="74">
        <v>46163</v>
      </c>
      <c r="H59" s="74">
        <v>46163</v>
      </c>
      <c r="I59" s="74">
        <v>46164</v>
      </c>
      <c r="J59" s="80">
        <v>1.5</v>
      </c>
      <c r="K59" s="82">
        <v>2</v>
      </c>
      <c r="L59" s="82">
        <v>0</v>
      </c>
      <c r="M59" s="82" t="s">
        <v>183</v>
      </c>
      <c r="N59" s="82" t="s">
        <v>184</v>
      </c>
      <c r="O59" s="82">
        <v>3</v>
      </c>
      <c r="P59" s="82">
        <v>1</v>
      </c>
      <c r="Q59" s="65">
        <v>5</v>
      </c>
      <c r="R59" s="62">
        <f t="shared" si="1"/>
        <v>1</v>
      </c>
      <c r="S59" s="10">
        <v>1</v>
      </c>
      <c r="T59" s="11"/>
      <c r="U59" s="11"/>
      <c r="V59" s="11"/>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row>
    <row r="60" s="15" customFormat="1" customHeight="1" spans="1:144">
      <c r="A60" s="99">
        <v>248</v>
      </c>
      <c r="B60" s="100" t="s">
        <v>77</v>
      </c>
      <c r="C60" s="100" t="s">
        <v>169</v>
      </c>
      <c r="D60" s="101" t="s">
        <v>185</v>
      </c>
      <c r="E60" s="102" t="s">
        <v>66</v>
      </c>
      <c r="F60" s="101" t="s">
        <v>37</v>
      </c>
      <c r="G60" s="103">
        <v>46164</v>
      </c>
      <c r="H60" s="101"/>
      <c r="I60" s="101"/>
      <c r="J60" s="101"/>
      <c r="K60" s="104"/>
      <c r="L60" s="104"/>
      <c r="M60" s="104" t="s">
        <v>186</v>
      </c>
      <c r="N60" s="104"/>
      <c r="O60" s="105"/>
      <c r="P60" s="105"/>
      <c r="Q60" s="106">
        <f>K60+O60</f>
        <v>0</v>
      </c>
      <c r="R60" s="99">
        <f t="shared" si="1"/>
        <v>0</v>
      </c>
      <c r="S60" s="107"/>
      <c r="T60" s="107"/>
      <c r="U60" s="107"/>
      <c r="V60" s="107"/>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8"/>
      <c r="BN60" s="108"/>
      <c r="BO60" s="108"/>
      <c r="BP60" s="108"/>
      <c r="BQ60" s="108"/>
      <c r="BR60" s="108"/>
      <c r="BS60" s="108"/>
      <c r="BT60" s="108"/>
      <c r="BU60" s="108"/>
      <c r="BV60" s="108"/>
      <c r="BW60" s="108"/>
      <c r="BX60" s="108"/>
      <c r="BY60" s="108"/>
      <c r="BZ60" s="108"/>
      <c r="CA60" s="108"/>
      <c r="CB60" s="108"/>
      <c r="CC60" s="108"/>
      <c r="CD60" s="108"/>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108"/>
      <c r="DO60" s="108"/>
      <c r="DP60" s="108"/>
      <c r="DQ60" s="108"/>
      <c r="DR60" s="108"/>
      <c r="DS60" s="108"/>
      <c r="DT60" s="108"/>
      <c r="DU60" s="108"/>
      <c r="DV60" s="108"/>
      <c r="DW60" s="108"/>
      <c r="DX60" s="108"/>
      <c r="DY60" s="108"/>
      <c r="DZ60" s="108"/>
      <c r="EA60" s="108"/>
      <c r="EB60" s="108"/>
      <c r="EC60" s="108"/>
      <c r="ED60" s="108"/>
      <c r="EE60" s="108"/>
      <c r="EF60" s="108"/>
      <c r="EG60" s="108"/>
      <c r="EH60" s="108"/>
      <c r="EI60" s="108"/>
      <c r="EJ60" s="108"/>
      <c r="EK60" s="108"/>
      <c r="EL60" s="108"/>
      <c r="EM60" s="108"/>
    </row>
    <row r="61" customHeight="1" spans="1:144">
      <c r="A61" s="64"/>
      <c r="B61" s="64"/>
      <c r="C61" s="64"/>
      <c r="D61" s="64"/>
      <c r="E61" s="64"/>
      <c r="F61" s="64"/>
      <c r="G61" s="64"/>
      <c r="H61" s="64"/>
      <c r="I61" s="64"/>
      <c r="J61" s="64"/>
      <c r="K61" s="63"/>
      <c r="L61" s="63"/>
      <c r="M61" s="63"/>
      <c r="N61" s="63"/>
      <c r="O61" s="63"/>
      <c r="P61" s="63"/>
      <c r="Q61" s="65"/>
      <c r="R61" s="65"/>
      <c r="S61" s="9"/>
      <c r="T61" s="9"/>
      <c r="U61" s="9"/>
      <c r="V61" s="9"/>
    </row>
    <row r="62" customHeight="1" spans="1:144">
      <c r="A62" s="64"/>
      <c r="B62" s="64"/>
      <c r="C62" s="64"/>
      <c r="D62" s="64"/>
      <c r="E62" s="64"/>
      <c r="F62" s="64"/>
      <c r="G62" s="64"/>
      <c r="H62" s="64"/>
      <c r="I62" s="64"/>
      <c r="J62" s="64"/>
      <c r="K62" s="63"/>
      <c r="L62" s="63"/>
      <c r="M62" s="63"/>
      <c r="N62" s="63"/>
      <c r="O62" s="63"/>
      <c r="P62" s="63"/>
      <c r="Q62" s="65"/>
      <c r="R62" s="65"/>
      <c r="S62" s="9"/>
      <c r="T62" s="9"/>
      <c r="U62" s="9"/>
      <c r="V62" s="9"/>
    </row>
    <row r="63" customHeight="1" spans="1:144">
      <c r="A63" s="64"/>
      <c r="B63" s="64"/>
      <c r="C63" s="64"/>
      <c r="D63" s="64"/>
      <c r="E63" s="64"/>
      <c r="F63" s="64"/>
      <c r="G63" s="64"/>
      <c r="H63" s="64"/>
      <c r="I63" s="64"/>
      <c r="J63" s="64"/>
      <c r="K63" s="63"/>
      <c r="L63" s="63"/>
      <c r="M63" s="63"/>
      <c r="N63" s="63"/>
      <c r="O63" s="63"/>
      <c r="P63" s="63"/>
      <c r="Q63" s="65"/>
      <c r="R63" s="65"/>
      <c r="S63" s="9"/>
      <c r="T63" s="9"/>
      <c r="U63" s="9"/>
      <c r="V63" s="9"/>
    </row>
    <row r="64" customHeight="1" spans="1:144">
      <c r="A64" s="64"/>
      <c r="B64" s="64"/>
      <c r="C64" s="64"/>
      <c r="D64" s="64"/>
      <c r="E64" s="64"/>
      <c r="F64" s="64"/>
      <c r="G64" s="64"/>
      <c r="H64" s="64"/>
      <c r="I64" s="64"/>
      <c r="J64" s="64"/>
      <c r="K64" s="63"/>
      <c r="L64" s="63"/>
      <c r="M64" s="64"/>
      <c r="N64" s="64"/>
      <c r="O64" s="63"/>
      <c r="P64" s="63"/>
      <c r="Q64" s="65"/>
      <c r="R64" s="65"/>
      <c r="S64" s="9"/>
      <c r="T64" s="9"/>
      <c r="U64" s="9"/>
      <c r="V64" s="9"/>
    </row>
    <row r="65" customHeight="1" spans="1:22">
      <c r="A65" s="64"/>
      <c r="B65" s="64"/>
      <c r="C65" s="64"/>
      <c r="D65" s="64"/>
      <c r="E65" s="64"/>
      <c r="F65" s="64"/>
      <c r="G65" s="64"/>
      <c r="H65" s="64"/>
      <c r="I65" s="64"/>
      <c r="J65" s="64"/>
      <c r="K65" s="63"/>
      <c r="L65" s="63"/>
      <c r="M65" s="64"/>
      <c r="N65" s="64"/>
      <c r="O65" s="63"/>
      <c r="P65" s="63"/>
      <c r="Q65" s="65"/>
      <c r="R65" s="65"/>
      <c r="S65" s="9"/>
      <c r="T65" s="9"/>
      <c r="U65" s="9"/>
      <c r="V65" s="9"/>
    </row>
    <row r="66" customHeight="1" spans="1:22">
      <c r="A66" s="64"/>
      <c r="B66" s="64"/>
      <c r="C66" s="64"/>
      <c r="D66" s="64"/>
      <c r="E66" s="64"/>
      <c r="F66" s="64"/>
      <c r="G66" s="64"/>
      <c r="H66" s="64"/>
      <c r="I66" s="64"/>
      <c r="J66" s="64"/>
      <c r="K66" s="63"/>
      <c r="L66" s="63"/>
      <c r="M66" s="64"/>
      <c r="N66" s="64"/>
      <c r="O66" s="63"/>
      <c r="P66" s="63"/>
      <c r="Q66" s="65"/>
      <c r="R66" s="65"/>
      <c r="S66" s="9"/>
      <c r="T66" s="9"/>
      <c r="U66" s="9"/>
      <c r="V66" s="9"/>
    </row>
    <row r="67" customHeight="1" spans="1:22">
      <c r="A67" s="64"/>
      <c r="B67" s="64"/>
      <c r="C67" s="64"/>
      <c r="D67" s="64"/>
      <c r="E67" s="64"/>
      <c r="F67" s="64"/>
      <c r="G67" s="64"/>
      <c r="H67" s="64"/>
      <c r="I67" s="64"/>
      <c r="J67" s="64"/>
      <c r="K67" s="63"/>
      <c r="L67" s="63"/>
      <c r="M67" s="64"/>
      <c r="N67" s="64"/>
      <c r="O67" s="63"/>
      <c r="P67" s="63"/>
      <c r="Q67" s="65"/>
      <c r="R67" s="65"/>
      <c r="S67" s="9"/>
      <c r="T67" s="9"/>
      <c r="U67" s="9"/>
      <c r="V67" s="9"/>
    </row>
    <row r="68" customHeight="1" spans="1:22">
      <c r="A68" s="64"/>
      <c r="B68" s="64"/>
      <c r="C68" s="64"/>
      <c r="D68" s="64"/>
      <c r="E68" s="64"/>
      <c r="F68" s="64"/>
      <c r="G68" s="64"/>
      <c r="H68" s="64"/>
      <c r="I68" s="64"/>
      <c r="J68" s="64"/>
      <c r="K68" s="63"/>
      <c r="L68" s="63"/>
      <c r="M68" s="64"/>
      <c r="N68" s="64"/>
      <c r="O68" s="63"/>
      <c r="P68" s="63"/>
      <c r="Q68" s="65"/>
      <c r="R68" s="65"/>
      <c r="S68" s="9"/>
      <c r="T68" s="9"/>
      <c r="U68" s="9"/>
      <c r="V68" s="9"/>
    </row>
    <row r="69" customHeight="1" spans="1:22">
      <c r="A69" s="64"/>
      <c r="B69" s="64"/>
      <c r="C69" s="64"/>
      <c r="D69" s="64"/>
      <c r="E69" s="64"/>
      <c r="F69" s="64"/>
      <c r="G69" s="64"/>
      <c r="H69" s="64"/>
      <c r="I69" s="64"/>
      <c r="J69" s="64"/>
      <c r="K69" s="63"/>
      <c r="L69" s="63"/>
      <c r="M69" s="64"/>
      <c r="N69" s="64"/>
      <c r="O69" s="63"/>
      <c r="P69" s="63"/>
      <c r="Q69" s="65"/>
      <c r="R69" s="65"/>
      <c r="S69" s="9"/>
      <c r="T69" s="9"/>
      <c r="U69" s="9"/>
      <c r="V69" s="9"/>
    </row>
    <row r="70" customHeight="1" spans="1:22">
      <c r="A70" s="64"/>
      <c r="B70" s="64"/>
      <c r="C70" s="64"/>
      <c r="D70" s="64"/>
      <c r="E70" s="64"/>
      <c r="F70" s="64"/>
      <c r="G70" s="64"/>
      <c r="H70" s="64"/>
      <c r="I70" s="64"/>
      <c r="J70" s="64"/>
      <c r="K70" s="63"/>
      <c r="L70" s="63"/>
      <c r="M70" s="64"/>
      <c r="N70" s="64"/>
      <c r="O70" s="63"/>
      <c r="P70" s="63"/>
      <c r="Q70" s="65"/>
      <c r="R70" s="65"/>
      <c r="S70" s="9"/>
      <c r="T70" s="9"/>
      <c r="U70" s="9"/>
      <c r="V70" s="9"/>
    </row>
    <row r="71" customHeight="1" spans="1:22">
      <c r="Q71" s="109"/>
      <c r="R71" s="109"/>
    </row>
  </sheetData>
  <autoFilter xmlns:etc="http://www.wps.cn/officeDocument/2017/etCustomData" ref="A1:V71"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版本台账（2026）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xfw</dc:creator>
  <cp:lastModifiedBy>许发文</cp:lastModifiedBy>
  <dcterms:created xsi:type="dcterms:W3CDTF">2026-05-28T06:58:00Z</dcterms:created>
  <dcterms:modified xsi:type="dcterms:W3CDTF">2026-05-28T09:51:32Z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E794E6C8C1D24E8EBC4048F33393482A_11</vt:lpwstr>
  </property>
  <property fmtid="{D5CDD505-2E9C-101B-9397-08002B2CF9AE}" pid="3" name="KSOProductBuildVer">
    <vt:lpwstr>2052-12.1.0.26890</vt:lpwstr>
  </property>
  <property fmtid="{D5CDD505-2E9C-101B-9397-08002B2CF9AE}" pid="4" name="CalculationRule">
    <vt:i4>1</vt:i4>
  </property>
</Properties>
</file>